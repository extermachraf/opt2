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ioopt.sharepoint.com/sites/optsalute/Workarea/1. PRODUZIONE/2. Commesse aperte/291. AIOM App Nutrient/02. Prod/01. Development/"/>
    </mc:Choice>
  </mc:AlternateContent>
  <xr:revisionPtr revIDLastSave="299" documentId="8_{A54B5A2D-74BF-43F5-A10C-2B73A174E262}" xr6:coauthVersionLast="47" xr6:coauthVersionMax="47" xr10:uidLastSave="{615493AE-7A1A-4BA5-AB8E-9A1FA0538D61}"/>
  <bookViews>
    <workbookView xWindow="-96" yWindow="0" windowWidth="11712" windowHeight="12336" tabRatio="500" xr2:uid="{00000000-000D-0000-FFFF-FFFF00000000}"/>
  </bookViews>
  <sheets>
    <sheet name="Ricette PARTE1" sheetId="9" r:id="rId1"/>
    <sheet name="Ricette PARTE2" sheetId="1" r:id="rId2"/>
    <sheet name="calcolo ingredienti" sheetId="6" state="hidden" r:id="rId3"/>
  </sheets>
  <definedNames>
    <definedName name="__xlnm._FilterDatabase_1" localSheetId="0">#REF!</definedName>
    <definedName name="__xlnm._FilterDatabase_1">#REF!</definedName>
    <definedName name="__xlnm._FilterDatabase_1_1">#REF!</definedName>
    <definedName name="__xlnm._FilterDatabase_2">#REF!</definedName>
    <definedName name="_xlnm._FilterDatabase" localSheetId="0" hidden="1">'Ricette PARTE1'!$A$2:$G$2</definedName>
    <definedName name="_xlnm._FilterDatabase" localSheetId="1" hidden="1">'Ricette PARTE2'!$A$2:$B$2</definedName>
    <definedName name="Tabella1">#REF!</definedName>
    <definedName name="Tabella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9" i="1" l="1"/>
  <c r="G1199" i="9"/>
  <c r="G929" i="9"/>
  <c r="F13" i="1"/>
  <c r="G13" i="1" s="1"/>
  <c r="G556" i="9"/>
  <c r="F556" i="9"/>
  <c r="F929" i="9"/>
  <c r="D75" i="6"/>
  <c r="D74" i="6"/>
  <c r="D73" i="6"/>
  <c r="D72" i="6"/>
  <c r="D71" i="6"/>
  <c r="D76" i="6"/>
  <c r="C76" i="6"/>
  <c r="F703" i="9"/>
  <c r="G703" i="9" s="1"/>
  <c r="F714" i="9"/>
  <c r="G714" i="9" s="1"/>
  <c r="F690" i="9"/>
  <c r="G690" i="9" s="1"/>
  <c r="F672" i="9"/>
  <c r="G672" i="9" s="1"/>
  <c r="F658" i="9"/>
  <c r="G658" i="9" s="1"/>
  <c r="D59" i="6"/>
  <c r="D53" i="6"/>
  <c r="D54" i="6"/>
  <c r="D55" i="6"/>
  <c r="D56" i="6"/>
  <c r="D57" i="6"/>
  <c r="D58" i="6"/>
  <c r="D52" i="6"/>
  <c r="C59" i="6"/>
  <c r="F643" i="9" l="1"/>
  <c r="G643" i="9" s="1"/>
  <c r="E65" i="6" l="1"/>
  <c r="C65" i="6" s="1"/>
  <c r="E66" i="6"/>
  <c r="C66" i="6" s="1"/>
  <c r="E67" i="6"/>
  <c r="C67" i="6" s="1"/>
  <c r="E64" i="6"/>
  <c r="C64" i="6" s="1"/>
  <c r="D68" i="6"/>
  <c r="F1291" i="1"/>
  <c r="G1291" i="1" s="1"/>
  <c r="F1268" i="1"/>
  <c r="G1268" i="1" s="1"/>
  <c r="F256" i="1"/>
  <c r="G256" i="1" s="1"/>
  <c r="F107" i="1"/>
  <c r="G107" i="1" s="1"/>
  <c r="F1253" i="1"/>
  <c r="G1253" i="1" s="1"/>
  <c r="O36" i="6"/>
  <c r="P36" i="6"/>
  <c r="Q36" i="6"/>
  <c r="R36" i="6"/>
  <c r="O30" i="6"/>
  <c r="P30" i="6"/>
  <c r="Q30" i="6"/>
  <c r="R30" i="6"/>
  <c r="J35" i="6"/>
  <c r="J34" i="6"/>
  <c r="J33" i="6"/>
  <c r="J36" i="6" s="1"/>
  <c r="J29" i="6"/>
  <c r="J30" i="6" s="1"/>
  <c r="E36" i="6"/>
  <c r="N36" i="6"/>
  <c r="M36" i="6"/>
  <c r="L36" i="6"/>
  <c r="K36" i="6"/>
  <c r="I36" i="6"/>
  <c r="H36" i="6"/>
  <c r="G36" i="6"/>
  <c r="F36" i="6"/>
  <c r="E30" i="6"/>
  <c r="F30" i="6"/>
  <c r="G30" i="6"/>
  <c r="H30" i="6"/>
  <c r="I30" i="6"/>
  <c r="K30" i="6"/>
  <c r="L30" i="6"/>
  <c r="M30" i="6"/>
  <c r="N30" i="6"/>
  <c r="J21" i="6"/>
  <c r="J28" i="6"/>
  <c r="J27" i="6"/>
  <c r="E68" i="6" l="1"/>
  <c r="F1303" i="9"/>
  <c r="F1286" i="9"/>
  <c r="F1270" i="9"/>
  <c r="F1258" i="9"/>
  <c r="F1244" i="9"/>
  <c r="G1244" i="9" s="1"/>
  <c r="F1237" i="9"/>
  <c r="F1229" i="9"/>
  <c r="F1222" i="9"/>
  <c r="G1222" i="9" s="1"/>
  <c r="F1211" i="9"/>
  <c r="F1199" i="9"/>
  <c r="F1189" i="9"/>
  <c r="G1189" i="9" s="1"/>
  <c r="F1181" i="9"/>
  <c r="F1167" i="9"/>
  <c r="F1155" i="9"/>
  <c r="F1147" i="9"/>
  <c r="F1138" i="9"/>
  <c r="F1132" i="9"/>
  <c r="F1114" i="9"/>
  <c r="F1096" i="9"/>
  <c r="F1078" i="9"/>
  <c r="F1061" i="9"/>
  <c r="F1042" i="9"/>
  <c r="G1042" i="9" s="1"/>
  <c r="F1033" i="9"/>
  <c r="F1021" i="9"/>
  <c r="F1012" i="9"/>
  <c r="F1001" i="9"/>
  <c r="G1001" i="9" s="1"/>
  <c r="F993" i="9"/>
  <c r="F981" i="9"/>
  <c r="G981" i="9" s="1"/>
  <c r="F968" i="9"/>
  <c r="F958" i="9"/>
  <c r="G958" i="9" s="1"/>
  <c r="F945" i="9"/>
  <c r="G945" i="9" s="1"/>
  <c r="F936" i="9"/>
  <c r="G936" i="9" s="1"/>
  <c r="F907" i="9"/>
  <c r="G907" i="9" s="1"/>
  <c r="F896" i="9"/>
  <c r="F884" i="9"/>
  <c r="F875" i="9"/>
  <c r="F863" i="9"/>
  <c r="G863" i="9" s="1"/>
  <c r="F853" i="9"/>
  <c r="F843" i="9"/>
  <c r="F827" i="9"/>
  <c r="F815" i="9"/>
  <c r="F800" i="9"/>
  <c r="F791" i="9"/>
  <c r="F779" i="9"/>
  <c r="F765" i="9"/>
  <c r="G765" i="9" s="1"/>
  <c r="F751" i="9"/>
  <c r="F741" i="9"/>
  <c r="G741" i="9" s="1"/>
  <c r="F731" i="9"/>
  <c r="G731" i="9" s="1"/>
  <c r="F722" i="9"/>
  <c r="F629" i="9"/>
  <c r="F623" i="9"/>
  <c r="F611" i="9"/>
  <c r="F602" i="9"/>
  <c r="F594" i="9"/>
  <c r="G594" i="9" s="1"/>
  <c r="F587" i="9"/>
  <c r="F581" i="9"/>
  <c r="F573" i="9"/>
  <c r="F564" i="9"/>
  <c r="F543" i="9"/>
  <c r="G543" i="9" s="1"/>
  <c r="F535" i="9"/>
  <c r="F522" i="9"/>
  <c r="F512" i="9"/>
  <c r="G512" i="9" s="1"/>
  <c r="F505" i="9"/>
  <c r="F496" i="9"/>
  <c r="F487" i="9"/>
  <c r="F476" i="9"/>
  <c r="F469" i="9"/>
  <c r="F458" i="9"/>
  <c r="F449" i="9"/>
  <c r="G449" i="9" s="1"/>
  <c r="F436" i="9"/>
  <c r="F425" i="9"/>
  <c r="F413" i="9"/>
  <c r="F402" i="9"/>
  <c r="F393" i="9"/>
  <c r="F384" i="9"/>
  <c r="F375" i="9"/>
  <c r="F369" i="9"/>
  <c r="G369" i="9" s="1"/>
  <c r="F362" i="9"/>
  <c r="F353" i="9"/>
  <c r="G353" i="9" s="1"/>
  <c r="F345" i="9"/>
  <c r="F337" i="9"/>
  <c r="F327" i="9"/>
  <c r="F318" i="9"/>
  <c r="F309" i="9"/>
  <c r="F301" i="9"/>
  <c r="F294" i="9"/>
  <c r="F286" i="9"/>
  <c r="F275" i="9"/>
  <c r="F266" i="9"/>
  <c r="G266" i="9" s="1"/>
  <c r="F259" i="9"/>
  <c r="G259" i="9" s="1"/>
  <c r="F252" i="9"/>
  <c r="G252" i="9" s="1"/>
  <c r="F242" i="9"/>
  <c r="F232" i="9"/>
  <c r="G232" i="9" s="1"/>
  <c r="F222" i="9"/>
  <c r="F215" i="9"/>
  <c r="F207" i="9"/>
  <c r="F200" i="9"/>
  <c r="F191" i="9"/>
  <c r="F181" i="9"/>
  <c r="F175" i="9"/>
  <c r="F169" i="9"/>
  <c r="G169" i="9" s="1"/>
  <c r="F162" i="9"/>
  <c r="G162" i="9" s="1"/>
  <c r="F156" i="9"/>
  <c r="F148" i="9"/>
  <c r="F141" i="9"/>
  <c r="F131" i="9"/>
  <c r="F116" i="9"/>
  <c r="F109" i="9"/>
  <c r="F100" i="9"/>
  <c r="F93" i="9"/>
  <c r="F84" i="9"/>
  <c r="F75" i="9"/>
  <c r="F64" i="9"/>
  <c r="F55" i="9"/>
  <c r="F45" i="9"/>
  <c r="G45" i="9" s="1"/>
  <c r="F38" i="9"/>
  <c r="G38" i="9" s="1"/>
  <c r="F31" i="9"/>
  <c r="G31" i="9" s="1"/>
  <c r="F23" i="9"/>
  <c r="F15" i="9"/>
  <c r="F6" i="9"/>
  <c r="G6" i="9" s="1"/>
  <c r="G1132" i="9" l="1"/>
  <c r="G1114" i="9"/>
  <c r="G1078" i="9"/>
  <c r="G1096" i="9"/>
  <c r="G1303" i="9"/>
  <c r="G181" i="9"/>
  <c r="G476" i="9"/>
  <c r="G522" i="9"/>
  <c r="G993" i="9"/>
  <c r="G853" i="9"/>
  <c r="G175" i="9"/>
  <c r="G402" i="9"/>
  <c r="G191" i="9"/>
  <c r="G436" i="9"/>
  <c r="G573" i="9"/>
  <c r="G1033" i="9"/>
  <c r="G141" i="9"/>
  <c r="G75" i="9"/>
  <c r="G215" i="9"/>
  <c r="G93" i="9"/>
  <c r="G131" i="9"/>
  <c r="G64" i="9"/>
  <c r="G100" i="9"/>
  <c r="G109" i="9"/>
  <c r="G222" i="9"/>
  <c r="G413" i="9"/>
  <c r="G301" i="9"/>
  <c r="G318" i="9"/>
  <c r="G362" i="9"/>
  <c r="G200" i="9"/>
  <c r="G242" i="9"/>
  <c r="G294" i="9"/>
  <c r="G496" i="9"/>
  <c r="G116" i="9"/>
  <c r="G148" i="9"/>
  <c r="G15" i="9"/>
  <c r="G23" i="9"/>
  <c r="G55" i="9"/>
  <c r="G84" i="9"/>
  <c r="G156" i="9"/>
  <c r="G207" i="9"/>
  <c r="G275" i="9"/>
  <c r="G286" i="9"/>
  <c r="G384" i="9"/>
  <c r="G487" i="9"/>
  <c r="G611" i="9"/>
  <c r="G337" i="9"/>
  <c r="G458" i="9"/>
  <c r="G469" i="9"/>
  <c r="G535" i="9"/>
  <c r="G309" i="9"/>
  <c r="G327" i="9"/>
  <c r="G345" i="9"/>
  <c r="G375" i="9"/>
  <c r="G393" i="9"/>
  <c r="G425" i="9"/>
  <c r="G505" i="9"/>
  <c r="G602" i="9"/>
  <c r="G843" i="9"/>
  <c r="G564" i="9"/>
  <c r="G581" i="9"/>
  <c r="G587" i="9"/>
  <c r="G623" i="9"/>
  <c r="G629" i="9"/>
  <c r="G722" i="9"/>
  <c r="G751" i="9"/>
  <c r="G779" i="9"/>
  <c r="G791" i="9"/>
  <c r="G815" i="9"/>
  <c r="G827" i="9"/>
  <c r="G800" i="9"/>
  <c r="G875" i="9"/>
  <c r="G896" i="9"/>
  <c r="G1012" i="9"/>
  <c r="G884" i="9"/>
  <c r="G968" i="9"/>
  <c r="G1021" i="9"/>
  <c r="G1181" i="9"/>
  <c r="G1061" i="9"/>
  <c r="G1138" i="9"/>
  <c r="G1147" i="9"/>
  <c r="G1155" i="9"/>
  <c r="G1167" i="9"/>
  <c r="G1229" i="9"/>
  <c r="G1237" i="9"/>
  <c r="G1286" i="9"/>
  <c r="G1270" i="9"/>
  <c r="G1211" i="9"/>
  <c r="G1258" i="9"/>
  <c r="J6" i="6" l="1"/>
  <c r="J7" i="6"/>
  <c r="J8" i="6"/>
  <c r="J9" i="6"/>
  <c r="J10" i="6"/>
  <c r="J5" i="6"/>
  <c r="R17" i="6" l="1"/>
  <c r="Q17" i="6"/>
  <c r="P17" i="6"/>
  <c r="N17" i="6"/>
  <c r="M17" i="6"/>
  <c r="K17" i="6"/>
  <c r="J17" i="6"/>
  <c r="I17" i="6"/>
  <c r="H17" i="6"/>
  <c r="G17" i="6"/>
  <c r="F17" i="6"/>
  <c r="E17" i="6"/>
  <c r="D17" i="6"/>
  <c r="R11" i="6"/>
  <c r="Q11" i="6"/>
  <c r="P11" i="6"/>
  <c r="N11" i="6"/>
  <c r="M11" i="6"/>
  <c r="D11" i="6"/>
  <c r="E11" i="6"/>
  <c r="F11" i="6"/>
  <c r="G11" i="6"/>
  <c r="H11" i="6"/>
  <c r="I11" i="6"/>
  <c r="K11" i="6"/>
  <c r="F24" i="1"/>
  <c r="F50" i="1"/>
  <c r="F62" i="1"/>
  <c r="F70" i="1"/>
  <c r="F81" i="1"/>
  <c r="F94" i="1"/>
  <c r="F123" i="1"/>
  <c r="F143" i="1"/>
  <c r="F160" i="1"/>
  <c r="F169" i="1"/>
  <c r="F181" i="1"/>
  <c r="F191" i="1"/>
  <c r="F202" i="1"/>
  <c r="F216" i="1"/>
  <c r="F232" i="1"/>
  <c r="G232" i="1" s="1"/>
  <c r="F243" i="1"/>
  <c r="F264" i="1"/>
  <c r="F275" i="1"/>
  <c r="F287" i="1"/>
  <c r="F295" i="1"/>
  <c r="F305" i="1"/>
  <c r="F314" i="1"/>
  <c r="F322" i="1"/>
  <c r="F333" i="1"/>
  <c r="F352" i="1"/>
  <c r="G352" i="1" s="1"/>
  <c r="F342" i="1"/>
  <c r="F366" i="1"/>
  <c r="F376" i="1"/>
  <c r="F387" i="1"/>
  <c r="F397" i="1"/>
  <c r="F408" i="1"/>
  <c r="F416" i="1"/>
  <c r="F431" i="1"/>
  <c r="F442" i="1"/>
  <c r="F452" i="1"/>
  <c r="F463" i="1"/>
  <c r="F472" i="1"/>
  <c r="F479" i="1"/>
  <c r="F485" i="1"/>
  <c r="F491" i="1"/>
  <c r="F499" i="1"/>
  <c r="F506" i="1"/>
  <c r="F515" i="1"/>
  <c r="F524" i="1"/>
  <c r="F538" i="1"/>
  <c r="F549" i="1"/>
  <c r="F558" i="1"/>
  <c r="F568" i="1"/>
  <c r="F576" i="1"/>
  <c r="F588" i="1"/>
  <c r="F596" i="1"/>
  <c r="F605" i="1"/>
  <c r="F614" i="1"/>
  <c r="F629" i="1"/>
  <c r="F639" i="1"/>
  <c r="F648" i="1"/>
  <c r="F659" i="1"/>
  <c r="F670" i="1"/>
  <c r="F680" i="1"/>
  <c r="F692" i="1"/>
  <c r="F699" i="1"/>
  <c r="F710" i="1"/>
  <c r="F721" i="1"/>
  <c r="F731" i="1"/>
  <c r="F739" i="1"/>
  <c r="F748" i="1"/>
  <c r="F756" i="1"/>
  <c r="F772" i="1"/>
  <c r="F764" i="1"/>
  <c r="G243" i="1" l="1"/>
  <c r="G245" i="1" s="1"/>
  <c r="G246" i="1" s="1"/>
  <c r="G322" i="1"/>
  <c r="G202" i="1"/>
  <c r="G549" i="1"/>
  <c r="G191" i="1"/>
  <c r="G169" i="1"/>
  <c r="G596" i="1"/>
  <c r="G499" i="1"/>
  <c r="G408" i="1"/>
  <c r="G472" i="1"/>
  <c r="G387" i="1"/>
  <c r="G314" i="1"/>
  <c r="G316" i="1" s="1"/>
  <c r="G317" i="1" s="1"/>
  <c r="G160" i="1"/>
  <c r="G62" i="1"/>
  <c r="G24" i="1"/>
  <c r="G680" i="1"/>
  <c r="G568" i="1"/>
  <c r="G538" i="1"/>
  <c r="G81" i="1"/>
  <c r="G588" i="1"/>
  <c r="G491" i="1"/>
  <c r="G648" i="1"/>
  <c r="G442" i="1"/>
  <c r="G431" i="1"/>
  <c r="G333" i="1"/>
  <c r="G275" i="1"/>
  <c r="G614" i="1"/>
  <c r="G397" i="1"/>
  <c r="G305" i="1"/>
  <c r="G342" i="1"/>
  <c r="G670" i="1"/>
  <c r="G452" i="1"/>
  <c r="G287" i="1"/>
  <c r="G366" i="1"/>
  <c r="G264" i="1"/>
  <c r="G39" i="1"/>
  <c r="G50" i="1"/>
  <c r="G216" i="1"/>
  <c r="G181" i="1"/>
  <c r="G143" i="1"/>
  <c r="G94" i="1"/>
  <c r="G70" i="1"/>
  <c r="G123" i="1"/>
  <c r="J11" i="6"/>
  <c r="G295" i="1"/>
  <c r="G376" i="1"/>
  <c r="G416" i="1"/>
  <c r="G463" i="1"/>
  <c r="G479" i="1"/>
  <c r="G485" i="1"/>
  <c r="G506" i="1"/>
  <c r="G515" i="1"/>
  <c r="G524" i="1"/>
  <c r="G558" i="1"/>
  <c r="G576" i="1"/>
  <c r="G605" i="1"/>
  <c r="G629" i="1"/>
  <c r="G639" i="1"/>
  <c r="G659" i="1"/>
  <c r="G692" i="1"/>
  <c r="G699" i="1"/>
  <c r="G710" i="1"/>
  <c r="G721" i="1"/>
  <c r="G731" i="1"/>
  <c r="G739" i="1"/>
  <c r="G748" i="1"/>
  <c r="G756" i="1"/>
  <c r="G764" i="1"/>
  <c r="G772" i="1"/>
  <c r="F1299" i="1"/>
  <c r="F782" i="1"/>
  <c r="F797" i="1"/>
  <c r="F819" i="1"/>
  <c r="F830" i="1"/>
  <c r="F132" i="1"/>
  <c r="F808" i="1"/>
  <c r="F840" i="1"/>
  <c r="F850" i="1"/>
  <c r="F857" i="1"/>
  <c r="F864" i="1"/>
  <c r="F873" i="1"/>
  <c r="F907" i="1"/>
  <c r="F917" i="1"/>
  <c r="F926" i="1"/>
  <c r="F939" i="1"/>
  <c r="F950" i="1"/>
  <c r="F988" i="1"/>
  <c r="F1000" i="1"/>
  <c r="F1014" i="1"/>
  <c r="F1027" i="1"/>
  <c r="F1044" i="1"/>
  <c r="G1299" i="1" l="1"/>
  <c r="G797" i="1"/>
  <c r="G782" i="1"/>
  <c r="G830" i="1"/>
  <c r="G819" i="1"/>
  <c r="G864" i="1"/>
  <c r="G873" i="1"/>
  <c r="G857" i="1"/>
  <c r="G132" i="1"/>
  <c r="G808" i="1"/>
  <c r="G840" i="1"/>
  <c r="G850" i="1"/>
  <c r="G917" i="1"/>
  <c r="G926" i="1"/>
  <c r="G1000" i="1"/>
  <c r="G907" i="1"/>
  <c r="G950" i="1"/>
  <c r="G1014" i="1"/>
  <c r="G988" i="1"/>
  <c r="G1044" i="1"/>
  <c r="F1066" i="1"/>
  <c r="F1076" i="1"/>
  <c r="F1084" i="1"/>
  <c r="F1093" i="1"/>
  <c r="F1109" i="1"/>
  <c r="F1118" i="1"/>
  <c r="F1134" i="1"/>
  <c r="F1143" i="1"/>
  <c r="F1156" i="1"/>
  <c r="F1164" i="1"/>
  <c r="F1174" i="1"/>
  <c r="F1184" i="1"/>
  <c r="F1198" i="1"/>
  <c r="F1210" i="1"/>
  <c r="F1219" i="1"/>
  <c r="F1228" i="1"/>
  <c r="F1236" i="1"/>
  <c r="F1242" i="1"/>
  <c r="F1279" i="1"/>
  <c r="F1310" i="1"/>
  <c r="F1321" i="1"/>
  <c r="F1332" i="1"/>
  <c r="F1350" i="1"/>
  <c r="F1382" i="1"/>
  <c r="F1367" i="1"/>
  <c r="F885" i="1"/>
  <c r="F897" i="1"/>
  <c r="F963" i="1"/>
  <c r="F976" i="1"/>
  <c r="F1057" i="1"/>
  <c r="F1395" i="1"/>
  <c r="G1350" i="1" l="1"/>
  <c r="G1367" i="1"/>
  <c r="G1076" i="1"/>
  <c r="G1210" i="1"/>
  <c r="G1242" i="1"/>
  <c r="G1164" i="1"/>
  <c r="G1382" i="1"/>
  <c r="G1109" i="1"/>
  <c r="G1093" i="1"/>
  <c r="G1198" i="1"/>
  <c r="G1219" i="1"/>
  <c r="G1084" i="1"/>
  <c r="G1156" i="1"/>
  <c r="G1174" i="1"/>
  <c r="G1228" i="1"/>
  <c r="G1134" i="1"/>
  <c r="G1236" i="1"/>
  <c r="G1279" i="1"/>
  <c r="G1118" i="1"/>
  <c r="G1143" i="1"/>
  <c r="G1184" i="1"/>
  <c r="G1310" i="1"/>
  <c r="G1321" i="1"/>
  <c r="G1332" i="1"/>
  <c r="G1066" i="1"/>
  <c r="G885" i="1"/>
  <c r="G897" i="1"/>
  <c r="G939" i="1"/>
  <c r="G963" i="1"/>
  <c r="G976" i="1"/>
  <c r="G1027" i="1"/>
  <c r="G1057" i="1"/>
  <c r="G1395" i="1"/>
  <c r="G1397" i="1" s="1"/>
  <c r="G1398" i="1" s="1"/>
  <c r="G1255" i="1" l="1"/>
  <c r="G1256" i="1" s="1"/>
</calcChain>
</file>

<file path=xl/sharedStrings.xml><?xml version="1.0" encoding="utf-8"?>
<sst xmlns="http://schemas.openxmlformats.org/spreadsheetml/2006/main" count="5842" uniqueCount="896">
  <si>
    <t>Quantita</t>
  </si>
  <si>
    <t>BDA-CODE</t>
  </si>
  <si>
    <t>RICETTE</t>
  </si>
  <si>
    <t>PESI</t>
  </si>
  <si>
    <t xml:space="preserve">KCAL </t>
  </si>
  <si>
    <t>Affogato al caffè con due palline di fiordilatte</t>
  </si>
  <si>
    <t>Caffe' Moka, In Tazza</t>
  </si>
  <si>
    <t>700796_2</t>
  </si>
  <si>
    <t>CAFFE' MOKA, in tazza</t>
  </si>
  <si>
    <t>19032_1</t>
  </si>
  <si>
    <t>Analisi per porzione</t>
  </si>
  <si>
    <t>CALCOLI BDA 100g</t>
  </si>
  <si>
    <t>Analisi per 100 g</t>
  </si>
  <si>
    <t>100</t>
  </si>
  <si>
    <t>Alici marinate</t>
  </si>
  <si>
    <t>Acciughe O Alici</t>
  </si>
  <si>
    <t>1300_2</t>
  </si>
  <si>
    <t>ACCIUGHE o ALICI</t>
  </si>
  <si>
    <t>Olio Di Semi Di Mais</t>
  </si>
  <si>
    <t>907_2</t>
  </si>
  <si>
    <t>OLIO DI SEMI DI MAIS</t>
  </si>
  <si>
    <t>Aceto</t>
  </si>
  <si>
    <t>100205_1</t>
  </si>
  <si>
    <t>ACETO</t>
  </si>
  <si>
    <t>Sale Da Cucina</t>
  </si>
  <si>
    <t>8021_1</t>
  </si>
  <si>
    <t>SALE da cucina</t>
  </si>
  <si>
    <t>Arrosticini di agnello</t>
  </si>
  <si>
    <t>Agnello, Carne Semigrassa</t>
  </si>
  <si>
    <t>100034_2</t>
  </si>
  <si>
    <t>AGNELLO, CARNE SEMIGRASSA</t>
  </si>
  <si>
    <t>Rosmarino, Secco</t>
  </si>
  <si>
    <t>8014_1</t>
  </si>
  <si>
    <t>ROSMARINO, secco</t>
  </si>
  <si>
    <t>Alloro, Secco</t>
  </si>
  <si>
    <t>8004_1</t>
  </si>
  <si>
    <t>ALLORO, secco</t>
  </si>
  <si>
    <t>Arrosto di vitello</t>
  </si>
  <si>
    <t>Bovino, Vitellone, 15-18 Mesi, Sottofesa, Senza Grasso Visibile</t>
  </si>
  <si>
    <t>8660_2</t>
  </si>
  <si>
    <t>BOVINO, VITELLONE, 15-18 MESI, sottofesa, senza grasso visibile</t>
  </si>
  <si>
    <t>Brodo Vegetale</t>
  </si>
  <si>
    <t>701358_1</t>
  </si>
  <si>
    <t>BRODO VEGETALE</t>
  </si>
  <si>
    <t>Olio Di Oliva Extravergine</t>
  </si>
  <si>
    <t>702901_2</t>
  </si>
  <si>
    <t>OLIO DI OLIVA EXTRAVERGINE</t>
  </si>
  <si>
    <t>Rosmarino, Fresco</t>
  </si>
  <si>
    <t>8013_1</t>
  </si>
  <si>
    <t>ROSMARINO, fresco</t>
  </si>
  <si>
    <t>Asparagi lessati e conditi</t>
  </si>
  <si>
    <t>304_1</t>
  </si>
  <si>
    <t>Banana zucchero e limone</t>
  </si>
  <si>
    <t>Banana</t>
  </si>
  <si>
    <t>406_2</t>
  </si>
  <si>
    <t>BANANA</t>
  </si>
  <si>
    <t>Zucchero (Saccarosio)</t>
  </si>
  <si>
    <t>2021_1</t>
  </si>
  <si>
    <t>ZUCCHERO (Saccarosio)</t>
  </si>
  <si>
    <t>Succo Di Limone, Fresco</t>
  </si>
  <si>
    <t>414_2</t>
  </si>
  <si>
    <t>SUCCO DI LIMONE, fresco</t>
  </si>
  <si>
    <t>Besciamella</t>
  </si>
  <si>
    <t>Burro</t>
  </si>
  <si>
    <t>1900_2</t>
  </si>
  <si>
    <t>BURRO</t>
  </si>
  <si>
    <t>Farina Di Frumento, Tipo 00</t>
  </si>
  <si>
    <t>12_1</t>
  </si>
  <si>
    <t>FARINA DI FRUMENTO, TIPO 00</t>
  </si>
  <si>
    <t>Latte intero</t>
  </si>
  <si>
    <t>1602_2</t>
  </si>
  <si>
    <t>Pepe Nero</t>
  </si>
  <si>
    <t>999964_1</t>
  </si>
  <si>
    <t>PEPE NERO</t>
  </si>
  <si>
    <t>Noce Moscata</t>
  </si>
  <si>
    <t>100217_1</t>
  </si>
  <si>
    <t>NOCE MOSCATA</t>
  </si>
  <si>
    <t xml:space="preserve">Biscotto frollino </t>
  </si>
  <si>
    <t>Uovo Di Gallina, Tuorlo</t>
  </si>
  <si>
    <t>1802_2</t>
  </si>
  <si>
    <t>UOVO DI GALLINA, TUORLO</t>
  </si>
  <si>
    <t>Bistecca alla pizzaiola</t>
  </si>
  <si>
    <t>Manzo, tagli di carne magra</t>
  </si>
  <si>
    <t>8520_2</t>
  </si>
  <si>
    <t>BOVINO, VITELLONE, 15-18 MESI, TAGLI DI CARNE MAGRA, senza grasso visibile</t>
  </si>
  <si>
    <t>Pomodori, Pelati, In Scatola Con Liquido</t>
  </si>
  <si>
    <t>392_1</t>
  </si>
  <si>
    <t>POMODORI, PELATI, IN SCATOLA CON LIQUIDO</t>
  </si>
  <si>
    <t>Aglio, Fresco</t>
  </si>
  <si>
    <t>301_1</t>
  </si>
  <si>
    <t>AGLIO, fresco</t>
  </si>
  <si>
    <t>Origano, Secco Macinato</t>
  </si>
  <si>
    <t>8012_1</t>
  </si>
  <si>
    <t>ORIGANO, secco macinato</t>
  </si>
  <si>
    <t>Bistecca di cavallo ai ferri</t>
  </si>
  <si>
    <t>Cavallo, Senza Grasso Visibile</t>
  </si>
  <si>
    <t>1020_2</t>
  </si>
  <si>
    <t>CAVALLO, senza grasso visibile</t>
  </si>
  <si>
    <t>Erbe Aromatiche (FOGLIE)</t>
  </si>
  <si>
    <t>100284_1</t>
  </si>
  <si>
    <t>ERBE AROMATICHE (FOGLIE)</t>
  </si>
  <si>
    <t>Bistecca di manzo ai ferri</t>
  </si>
  <si>
    <t>CALCOLI Michele 100g</t>
  </si>
  <si>
    <t>Bollito magro a cubettini freddo con extravergine</t>
  </si>
  <si>
    <t>Bovino, Vitellone, 15-18 Mesi, Tagli Di Carne Magra, Senza Grasso Visibile</t>
  </si>
  <si>
    <t>Prezzemolo, Fresco</t>
  </si>
  <si>
    <t>338_1</t>
  </si>
  <si>
    <t>PREZZEMOLO, fresco</t>
  </si>
  <si>
    <t>Bollito misto</t>
  </si>
  <si>
    <t>Bovino, Vitellone, 15-18 Mesi, Pancia, Biancostato, Punta Di Petto, Senza Grasso Visibile</t>
  </si>
  <si>
    <t>8663_2</t>
  </si>
  <si>
    <t>BOVINO, VITELLONE, 15-18 MESI, pancia, biancostato, punta di petto, senza grasso visibile</t>
  </si>
  <si>
    <t>Bovino, Lingua</t>
  </si>
  <si>
    <t>1205_2</t>
  </si>
  <si>
    <t>BOVINO, LINGUA</t>
  </si>
  <si>
    <t>Gallina</t>
  </si>
  <si>
    <t>1087_2</t>
  </si>
  <si>
    <t>GALLINA</t>
  </si>
  <si>
    <t>Bollito, tagli magri</t>
  </si>
  <si>
    <t>Bovino, Vitellone, 15-18 Mesi, Noce, Senza Grasso Visibile</t>
  </si>
  <si>
    <t>8658_2</t>
  </si>
  <si>
    <t>BOVINO, VITELLONE, 15-18 MESI, noce, senza grasso visibile</t>
  </si>
  <si>
    <t>Brasato</t>
  </si>
  <si>
    <t>Carote</t>
  </si>
  <si>
    <t>312_1</t>
  </si>
  <si>
    <t>CAROTE</t>
  </si>
  <si>
    <t>Cipolle</t>
  </si>
  <si>
    <t>322_1</t>
  </si>
  <si>
    <t>CIPOLLE</t>
  </si>
  <si>
    <t>Sedano</t>
  </si>
  <si>
    <t>343_1</t>
  </si>
  <si>
    <t>SEDANO</t>
  </si>
  <si>
    <t>Cannella</t>
  </si>
  <si>
    <t>100207_1</t>
  </si>
  <si>
    <t>CANNELLA</t>
  </si>
  <si>
    <t>Bresaola condita (pomodorini, rucola, scaglie di grana, limone e olio)</t>
  </si>
  <si>
    <t>Bresaola</t>
  </si>
  <si>
    <t>100061_2</t>
  </si>
  <si>
    <t>BRESAOLA</t>
  </si>
  <si>
    <t>Parmigiano</t>
  </si>
  <si>
    <t>1726_2</t>
  </si>
  <si>
    <t>PARMIGIANO</t>
  </si>
  <si>
    <t>Rucola</t>
  </si>
  <si>
    <t>700169_1</t>
  </si>
  <si>
    <t>RUCOLA</t>
  </si>
  <si>
    <t>Succo Di Limone</t>
  </si>
  <si>
    <t>608533_2</t>
  </si>
  <si>
    <t>SUCCO DI LIMONE</t>
  </si>
  <si>
    <t>391_1</t>
  </si>
  <si>
    <t>POMODORI DA INSALATA</t>
  </si>
  <si>
    <t>Broccoli lessati o al vapore, conditi con extravergine</t>
  </si>
  <si>
    <t>Broccolo A Testa</t>
  </si>
  <si>
    <t>309_1</t>
  </si>
  <si>
    <t>BROCCOLO A TESTA</t>
  </si>
  <si>
    <t>Bruschetta</t>
  </si>
  <si>
    <t>Pane casereccio a fette</t>
  </si>
  <si>
    <t>30_1</t>
  </si>
  <si>
    <t>PANE, TIPO 1, pezzatura &gt; 500g</t>
  </si>
  <si>
    <t>Caffelatte (parz. screm.)</t>
  </si>
  <si>
    <t>1603_2</t>
  </si>
  <si>
    <t>Caffè "marocchino"</t>
  </si>
  <si>
    <t>Caffè</t>
  </si>
  <si>
    <t>Cacao Amaro, In Polvere</t>
  </si>
  <si>
    <t>3000_2</t>
  </si>
  <si>
    <t>CACAO AMARO, in polvere</t>
  </si>
  <si>
    <t>Caffè macchiato</t>
  </si>
  <si>
    <t>Caffè espresso</t>
  </si>
  <si>
    <t>9031_2</t>
  </si>
  <si>
    <t>CAFFE' BAR, in tazza</t>
  </si>
  <si>
    <t>Cappuccino senza zucchero</t>
  </si>
  <si>
    <t>Caprese</t>
  </si>
  <si>
    <t>Mozzarella (vaccina)</t>
  </si>
  <si>
    <t>1718_2</t>
  </si>
  <si>
    <t>MOZZARELLA DI VACCA</t>
  </si>
  <si>
    <t>Basilico, Fresco</t>
  </si>
  <si>
    <t>8001_1</t>
  </si>
  <si>
    <t>BASILICO, fresco</t>
  </si>
  <si>
    <t>Carciofi in padella con aglio e prezzemolo</t>
  </si>
  <si>
    <t>Carciofi</t>
  </si>
  <si>
    <t>310_1</t>
  </si>
  <si>
    <t>CARCIOFI</t>
  </si>
  <si>
    <t>Carciofi, in pinzimonio</t>
  </si>
  <si>
    <t>Carote alla julienne, con olio e limone</t>
  </si>
  <si>
    <t>Limone</t>
  </si>
  <si>
    <t>413_2</t>
  </si>
  <si>
    <t>LIMONE</t>
  </si>
  <si>
    <t>Carote lessate o al vapore, con extravergine</t>
  </si>
  <si>
    <t>Carpaccio di manzo condito con scaglie di parmigiano e rucola</t>
  </si>
  <si>
    <t>Olio Di Oliva</t>
  </si>
  <si>
    <t>901_2</t>
  </si>
  <si>
    <t>OLIO DI OLIVA</t>
  </si>
  <si>
    <t>Carpaccio di pesce spada, condito</t>
  </si>
  <si>
    <t>Pesce Spada</t>
  </si>
  <si>
    <t>100110_2</t>
  </si>
  <si>
    <t>PESCE SPADA</t>
  </si>
  <si>
    <t>Carpaccio di spigola o branzino, condito</t>
  </si>
  <si>
    <t>Spigola Ica</t>
  </si>
  <si>
    <t>1323_2</t>
  </si>
  <si>
    <t>SPIGOLA ICA</t>
  </si>
  <si>
    <t>Cavolfiore lessato o al vapore, con extravergine</t>
  </si>
  <si>
    <t>Cavolfiore</t>
  </si>
  <si>
    <t>313_1</t>
  </si>
  <si>
    <t>CAVOLFIORE</t>
  </si>
  <si>
    <t>Cavolini di Bruxelles lessati o al vapore, con extravergine</t>
  </si>
  <si>
    <t>Cavoli Di Bruxelles</t>
  </si>
  <si>
    <t>315_1</t>
  </si>
  <si>
    <t>CAVOLI DI BRUXELLES</t>
  </si>
  <si>
    <t>Cavolo cappuccio in insalata, tagliato finemente, con extravergne</t>
  </si>
  <si>
    <t>317_1</t>
  </si>
  <si>
    <t>Ceci in umido con sugo al pomodoro</t>
  </si>
  <si>
    <t>Ceci, Secchi</t>
  </si>
  <si>
    <t>201_1</t>
  </si>
  <si>
    <t>CECI, secchi</t>
  </si>
  <si>
    <t>3001_1</t>
  </si>
  <si>
    <t>Cicoria o catalogna cotta e condita</t>
  </si>
  <si>
    <t>Cicoria Catalogna</t>
  </si>
  <si>
    <t>100171_1</t>
  </si>
  <si>
    <t>CICORIA CATALOGNA</t>
  </si>
  <si>
    <t>Cime di Rapa</t>
  </si>
  <si>
    <t>308_1</t>
  </si>
  <si>
    <t>BROCCOLETTI DI RAPE</t>
  </si>
  <si>
    <t>Cioccolata calda</t>
  </si>
  <si>
    <t>Patate, Fecola</t>
  </si>
  <si>
    <t>3002_1</t>
  </si>
  <si>
    <t>PATATE, FECOLA</t>
  </si>
  <si>
    <t>Cipolle al forno</t>
  </si>
  <si>
    <t xml:space="preserve">Cipolle lessate, condite con extravergine </t>
  </si>
  <si>
    <t>Coniglio arrosto</t>
  </si>
  <si>
    <t>Coniglio, Carne Semigrassa</t>
  </si>
  <si>
    <t>1082_2</t>
  </si>
  <si>
    <t>CONIGLIO, CARNE SEMIGRASSA</t>
  </si>
  <si>
    <t>Pancetta Di Maiale</t>
  </si>
  <si>
    <t>1903_2</t>
  </si>
  <si>
    <t>PANCETTA DI MAIALE</t>
  </si>
  <si>
    <t>Coscia di pollo arrosto (con pelle)</t>
  </si>
  <si>
    <t>Pollo, Fuso (COSCIA), Con Pelle</t>
  </si>
  <si>
    <t>8685_2</t>
  </si>
  <si>
    <t>POLLO, FUSO (COSCIA), con pelle</t>
  </si>
  <si>
    <t>Coscia di pollo arrosto (senza pelle)</t>
  </si>
  <si>
    <t>Pollo, Fuso (COSCIA), Senza Pelle</t>
  </si>
  <si>
    <t>8686_2</t>
  </si>
  <si>
    <t>POLLO, FUSO (COSCIA), senza pelle</t>
  </si>
  <si>
    <t>Coscia di tacchino al forno</t>
  </si>
  <si>
    <t>Tacchino, coscia</t>
  </si>
  <si>
    <t>8699_2</t>
  </si>
  <si>
    <t>TACCHINO, FUSO (COSCIA), con pelle</t>
  </si>
  <si>
    <t>Coste o biete lessate con extravergine</t>
  </si>
  <si>
    <t>307_1</t>
  </si>
  <si>
    <t>BIETA</t>
  </si>
  <si>
    <t>Costine di maiale ai ferri</t>
  </si>
  <si>
    <t>Suino, Carne Grassa, Senza Grasso Visibile</t>
  </si>
  <si>
    <t>1041_2</t>
  </si>
  <si>
    <t>SUINO, CARNE GRASSA, senza grasso visibile</t>
  </si>
  <si>
    <t>Cotoletta alla milanese</t>
  </si>
  <si>
    <t>Bovino, Vitello, 4 Mesi, Carne Magra, Senza Grasso Visibile</t>
  </si>
  <si>
    <t>1006_2</t>
  </si>
  <si>
    <t>BOVINO, VITELLO, 4 MESI, CARNE MAGRA, senza grasso visibile</t>
  </si>
  <si>
    <t>35_1</t>
  </si>
  <si>
    <t>Uovo Di Gallina, Intero</t>
  </si>
  <si>
    <t>1800_2</t>
  </si>
  <si>
    <t>UOVO DI GALLINA, INTERO</t>
  </si>
  <si>
    <t xml:space="preserve">Crema di ceci </t>
  </si>
  <si>
    <t>Brodo Di Carne E Verdura</t>
  </si>
  <si>
    <t>9040_1</t>
  </si>
  <si>
    <t>BRODO DI CARNE E VERDURA</t>
  </si>
  <si>
    <t xml:space="preserve">Crema di fagioli cannellini </t>
  </si>
  <si>
    <t>Fagioli, Secchi</t>
  </si>
  <si>
    <t>202_1</t>
  </si>
  <si>
    <t>FAGIOLI, secchi</t>
  </si>
  <si>
    <t>Crema di piselli</t>
  </si>
  <si>
    <t>Piselli Surgelati</t>
  </si>
  <si>
    <t>100142_1</t>
  </si>
  <si>
    <t>PISELLI SURGELATI</t>
  </si>
  <si>
    <t>Crema di piselli con patate</t>
  </si>
  <si>
    <t>Patate</t>
  </si>
  <si>
    <t>381_1</t>
  </si>
  <si>
    <t>PATATE</t>
  </si>
  <si>
    <t>Crema di zucca</t>
  </si>
  <si>
    <t>347_1</t>
  </si>
  <si>
    <t>Salvia, Fresca</t>
  </si>
  <si>
    <t>8015_1</t>
  </si>
  <si>
    <t>SALVIA, fresca</t>
  </si>
  <si>
    <t>Crema porri e patate</t>
  </si>
  <si>
    <t>Porri</t>
  </si>
  <si>
    <t>337_1</t>
  </si>
  <si>
    <t>PORRI</t>
  </si>
  <si>
    <t xml:space="preserve">Crostata alla marmellata </t>
  </si>
  <si>
    <t>100191_1</t>
  </si>
  <si>
    <t xml:space="preserve">Fagioli all'uccelletto </t>
  </si>
  <si>
    <t>Fagioli con nervetti</t>
  </si>
  <si>
    <t>Nervetti (bovino)</t>
  </si>
  <si>
    <t>1100_2</t>
  </si>
  <si>
    <t>Fagioli in umido con sugo al pomodoro</t>
  </si>
  <si>
    <t>Fagiolini in padella</t>
  </si>
  <si>
    <t>Cornetti o fagiolini</t>
  </si>
  <si>
    <t>101_1</t>
  </si>
  <si>
    <t>FAGIOLINI</t>
  </si>
  <si>
    <t>Fagiolini lessati e conditi</t>
  </si>
  <si>
    <t>8603_2</t>
  </si>
  <si>
    <t>Fegato alla veneta</t>
  </si>
  <si>
    <t>Bovino, Fegato</t>
  </si>
  <si>
    <t>1204_2</t>
  </si>
  <si>
    <t>BOVINO, FEGATO</t>
  </si>
  <si>
    <t>Filetti di merluzzo con pomodori, olive e capperi</t>
  </si>
  <si>
    <t>Merluzzo</t>
  </si>
  <si>
    <t>1313_2</t>
  </si>
  <si>
    <t>MERLUZZO</t>
  </si>
  <si>
    <t>592_1</t>
  </si>
  <si>
    <t>390_1</t>
  </si>
  <si>
    <t>Filetto di manzo ai ferri</t>
  </si>
  <si>
    <t>Bovino, Vitellone, 15-18 Mesi, Filetto, Senza Grasso Visibile</t>
  </si>
  <si>
    <t>8655_2</t>
  </si>
  <si>
    <t>BOVINO, VITELLONE, 15-18 MESI, filetto, senza grasso visibile</t>
  </si>
  <si>
    <t>Finocchi gratinati</t>
  </si>
  <si>
    <t>Finocchio</t>
  </si>
  <si>
    <t>324_1</t>
  </si>
  <si>
    <t>FINOCCHIO</t>
  </si>
  <si>
    <t>LATTE DI VACCA, PARZIALMENTE SCREMATO, PASTORIZZATO</t>
  </si>
  <si>
    <t>11_2</t>
  </si>
  <si>
    <t>FARINA DI FRUMENTO, TIPO 0</t>
  </si>
  <si>
    <t xml:space="preserve">Finocchi in insalata </t>
  </si>
  <si>
    <t>Finocchi in insalata con arance</t>
  </si>
  <si>
    <t>Arance</t>
  </si>
  <si>
    <t>404_2</t>
  </si>
  <si>
    <t>ARANCE</t>
  </si>
  <si>
    <t>Finocchi in padella</t>
  </si>
  <si>
    <t>Fragole con gelato fiordilatte</t>
  </si>
  <si>
    <t>Fragole</t>
  </si>
  <si>
    <t>411_2</t>
  </si>
  <si>
    <t>FRAGOLE</t>
  </si>
  <si>
    <t>2010_1</t>
  </si>
  <si>
    <t>Fragole zucchero e limone</t>
  </si>
  <si>
    <t>Frittata</t>
  </si>
  <si>
    <t>Frittata con porri</t>
  </si>
  <si>
    <t>Funghi misti trifolati</t>
  </si>
  <si>
    <t>328_1</t>
  </si>
  <si>
    <t>603552_1</t>
  </si>
  <si>
    <t>603554_1</t>
  </si>
  <si>
    <t>329_1</t>
  </si>
  <si>
    <t>Gelato alle creme</t>
  </si>
  <si>
    <t>Gnocchi di patate al gorgonzola</t>
  </si>
  <si>
    <t>Gnocchi freschi di patate</t>
  </si>
  <si>
    <t>12_2</t>
  </si>
  <si>
    <t>Gorgonzola</t>
  </si>
  <si>
    <t>1713_2</t>
  </si>
  <si>
    <t>GORGONZOLA</t>
  </si>
  <si>
    <t>Panna, 20% Di Lipidi (da Cucina)</t>
  </si>
  <si>
    <t>1905_2</t>
  </si>
  <si>
    <t>PANNA, 20% di lipidi (da cucina)</t>
  </si>
  <si>
    <t>Gnocchi di patate al pesto</t>
  </si>
  <si>
    <t>Pesto</t>
  </si>
  <si>
    <t>100166_2</t>
  </si>
  <si>
    <t>OLIO DI SEMI DI ARACHIDI</t>
  </si>
  <si>
    <t>100020_2</t>
  </si>
  <si>
    <t>PECORINO DA GRATTUGIARE</t>
  </si>
  <si>
    <t>512_2</t>
  </si>
  <si>
    <t>PINOLI</t>
  </si>
  <si>
    <t>Gnocchi di patate al pomodoro</t>
  </si>
  <si>
    <t>Gnocchi di patate al ragù</t>
  </si>
  <si>
    <t>Carne trita scelta</t>
  </si>
  <si>
    <t>8521_2</t>
  </si>
  <si>
    <t>BOVINO, VITELLONE, 15-18 MESI, TAGLI DI CARNE GRASSA, senza grasso visibile</t>
  </si>
  <si>
    <t>Gnocchi di patate con burro e salvia</t>
  </si>
  <si>
    <t>Gnocchi di patate olio e parmigiano</t>
  </si>
  <si>
    <t>Hamburger di manzo da polpa scelta</t>
  </si>
  <si>
    <t>Insalata di baccalà con prezzemolo e olive</t>
  </si>
  <si>
    <t>Baccala', Ammollato</t>
  </si>
  <si>
    <t>1507_2</t>
  </si>
  <si>
    <t>BACCALA', ammollato</t>
  </si>
  <si>
    <t>Insalata di fagioli con cipolle</t>
  </si>
  <si>
    <t>Insalata di fagioli e pomodori</t>
  </si>
  <si>
    <t>Melanzane</t>
  </si>
  <si>
    <t>334_1</t>
  </si>
  <si>
    <t>MELANZANE</t>
  </si>
  <si>
    <t>Zucchine</t>
  </si>
  <si>
    <t>349_1</t>
  </si>
  <si>
    <t>ZUCCHINE</t>
  </si>
  <si>
    <t>336_1</t>
  </si>
  <si>
    <t>PEPERONI DOLCI</t>
  </si>
  <si>
    <t>Orzo</t>
  </si>
  <si>
    <t>4_1</t>
  </si>
  <si>
    <t>Riso</t>
  </si>
  <si>
    <t>5_1</t>
  </si>
  <si>
    <t>Cetrioli</t>
  </si>
  <si>
    <t>318_1</t>
  </si>
  <si>
    <t>CETRIOLI</t>
  </si>
  <si>
    <t>Insalata di gamberetti con olio, prezzemolo e limone</t>
  </si>
  <si>
    <t>Gamberetti</t>
  </si>
  <si>
    <t>1309_2</t>
  </si>
  <si>
    <t>GAMBERO</t>
  </si>
  <si>
    <t>Insalata di mare</t>
  </si>
  <si>
    <t>Calamaro</t>
  </si>
  <si>
    <t>1304_2</t>
  </si>
  <si>
    <t>CALAMARO</t>
  </si>
  <si>
    <t>Polpo</t>
  </si>
  <si>
    <t>1316_2</t>
  </si>
  <si>
    <t>POLPO</t>
  </si>
  <si>
    <t>Cozza O Mitilo</t>
  </si>
  <si>
    <t>1307_2</t>
  </si>
  <si>
    <t>COZZA o MITILO</t>
  </si>
  <si>
    <t>Vongola</t>
  </si>
  <si>
    <t>1328_2</t>
  </si>
  <si>
    <t>VONGOLA</t>
  </si>
  <si>
    <t>Seppia</t>
  </si>
  <si>
    <t>1320_2</t>
  </si>
  <si>
    <t>SEPPIA</t>
  </si>
  <si>
    <t>Insalata di polpo con patate</t>
  </si>
  <si>
    <t xml:space="preserve">Insalata di riso </t>
  </si>
  <si>
    <t>900606_1</t>
  </si>
  <si>
    <t>900612_1</t>
  </si>
  <si>
    <t>1514_2</t>
  </si>
  <si>
    <t>Prosciutto Cotto</t>
  </si>
  <si>
    <t>1147_2</t>
  </si>
  <si>
    <t>PROSCIUTTO COTTO</t>
  </si>
  <si>
    <t>Insalata fredda di ceci con extravergine</t>
  </si>
  <si>
    <t>Insalata fredda di ceci con peperonata</t>
  </si>
  <si>
    <t>Peperonata</t>
  </si>
  <si>
    <t>Insalata mista con carote e pomodori, condita</t>
  </si>
  <si>
    <t>Radicchio Rosso</t>
  </si>
  <si>
    <t>339_1</t>
  </si>
  <si>
    <t>RADICCHIO ROSSO</t>
  </si>
  <si>
    <t>Lattuga</t>
  </si>
  <si>
    <t>331_1</t>
  </si>
  <si>
    <t>LATTUGA</t>
  </si>
  <si>
    <t>Insalata, condita</t>
  </si>
  <si>
    <t>Insalata Ns</t>
  </si>
  <si>
    <t>9001_1</t>
  </si>
  <si>
    <t>INSALATA NS</t>
  </si>
  <si>
    <t>Involtini di carne con spinaci</t>
  </si>
  <si>
    <t>Fontina</t>
  </si>
  <si>
    <t>1710_2</t>
  </si>
  <si>
    <t>FONTINA</t>
  </si>
  <si>
    <t>Spinaci</t>
  </si>
  <si>
    <t>345_1</t>
  </si>
  <si>
    <t>SPINACI</t>
  </si>
  <si>
    <t>Involtini di pollo con prosciutto e formaggio</t>
  </si>
  <si>
    <t>Pollo, Petto, Senza Pelle</t>
  </si>
  <si>
    <t>8689_2</t>
  </si>
  <si>
    <t>POLLO, PETTO, senza pelle</t>
  </si>
  <si>
    <t>Lasagne alla bolognese</t>
  </si>
  <si>
    <t>Pasta All'uovo, Secca</t>
  </si>
  <si>
    <t>51_1</t>
  </si>
  <si>
    <t>PASTA ALL'UOVO, secca</t>
  </si>
  <si>
    <t>Bovino, Vitellone, 15-18 Mesi, Scamone, Senza Grasso Visibile</t>
  </si>
  <si>
    <t>8659_2</t>
  </si>
  <si>
    <t>BOVINO, VITELLONE, 15-18 MESI, scamone, senza grasso visibile</t>
  </si>
  <si>
    <t>Suino, Leggero, Lombo, Senza Grasso Visibile</t>
  </si>
  <si>
    <t>8670_2</t>
  </si>
  <si>
    <t>SUINO, LEGGERO, lombo, senza grasso visibile</t>
  </si>
  <si>
    <t>Parmigiano grattuggiato</t>
  </si>
  <si>
    <t>Latte macchiato</t>
  </si>
  <si>
    <t>Lattuga, condita</t>
  </si>
  <si>
    <t>Lenticchie in umido con sugo al pomodoro</t>
  </si>
  <si>
    <t>Lenticchie, Secche</t>
  </si>
  <si>
    <t>204_1</t>
  </si>
  <si>
    <t>LENTICCHIE, secche</t>
  </si>
  <si>
    <t>Peperoncini Piccanti</t>
  </si>
  <si>
    <t>335_1</t>
  </si>
  <si>
    <t>Lonza di maiale in padella</t>
  </si>
  <si>
    <t>Suino, Leggero, Bistecca, Senza Grasso Visibile</t>
  </si>
  <si>
    <t>1043_2</t>
  </si>
  <si>
    <t>SUINO, LEGGERO, bistecca, senza grasso visibile</t>
  </si>
  <si>
    <t>Macedonia</t>
  </si>
  <si>
    <t>Mele, Senza Buccia</t>
  </si>
  <si>
    <t>419_2</t>
  </si>
  <si>
    <t>MELE, senza buccia</t>
  </si>
  <si>
    <t>Pera, Senza Buccia</t>
  </si>
  <si>
    <t>424_2</t>
  </si>
  <si>
    <t>PERA, senza buccia</t>
  </si>
  <si>
    <t>Kiwi</t>
  </si>
  <si>
    <t>429_2</t>
  </si>
  <si>
    <t>KIWI</t>
  </si>
  <si>
    <t>Mandarini</t>
  </si>
  <si>
    <t>417_2</t>
  </si>
  <si>
    <t>MANDARINI</t>
  </si>
  <si>
    <t>Uva</t>
  </si>
  <si>
    <t>428_2</t>
  </si>
  <si>
    <t>UVA</t>
  </si>
  <si>
    <t>Macedonia con due palline di gelato</t>
  </si>
  <si>
    <t>Mela cotta con cannella</t>
  </si>
  <si>
    <t>Mele, Con Buccia</t>
  </si>
  <si>
    <t>8807_2</t>
  </si>
  <si>
    <t>MELE, con buccia</t>
  </si>
  <si>
    <t>Melanzane al pomodoro</t>
  </si>
  <si>
    <t>Melanzane grigliate</t>
  </si>
  <si>
    <t>Melanzane in carrozza</t>
  </si>
  <si>
    <t>Merluzzo al vapore con olio</t>
  </si>
  <si>
    <t>Minestrone di verdure con patate e legumi</t>
  </si>
  <si>
    <t>Verza</t>
  </si>
  <si>
    <t>316_1</t>
  </si>
  <si>
    <t>Fagioli lessati</t>
  </si>
  <si>
    <t>100139_1</t>
  </si>
  <si>
    <t>Minestrone di verdure senza patate e legumi</t>
  </si>
  <si>
    <t>Minestrone di verdure senza patate e legumi con orzo</t>
  </si>
  <si>
    <t xml:space="preserve">Minestrone di verdure senza patate e legumi con pastina </t>
  </si>
  <si>
    <t>50_1</t>
  </si>
  <si>
    <t>Minestrone di verdure senza patate e legumi con riso</t>
  </si>
  <si>
    <t>Nervetti a cubetti</t>
  </si>
  <si>
    <t>Nodino di vitello ai ferri</t>
  </si>
  <si>
    <t>Orata al forno, sfilettata</t>
  </si>
  <si>
    <t>8734_2</t>
  </si>
  <si>
    <t>Orecchiette con i broccoli</t>
  </si>
  <si>
    <t>Acciughe O Alici Sott'olio</t>
  </si>
  <si>
    <t>1501_2</t>
  </si>
  <si>
    <t>ACCIUGHE o ALICI SOTT'OLIO</t>
  </si>
  <si>
    <t>Ortaggi misti, conditi</t>
  </si>
  <si>
    <t>Ravanelli</t>
  </si>
  <si>
    <t>342_1</t>
  </si>
  <si>
    <t>RAVANELLI</t>
  </si>
  <si>
    <t>Orzo bollito con olio a crudo</t>
  </si>
  <si>
    <t>Pancotto bianco</t>
  </si>
  <si>
    <t>Pane secco o raffermo</t>
  </si>
  <si>
    <t>700019_1</t>
  </si>
  <si>
    <t>Pancotto rosso</t>
  </si>
  <si>
    <t>Panino con hamburger</t>
  </si>
  <si>
    <t>Pane Comune</t>
  </si>
  <si>
    <t>100154_1</t>
  </si>
  <si>
    <t>PANE COMUNE, pezzatura da 250g</t>
  </si>
  <si>
    <t>Hamburger da polpa scelta</t>
  </si>
  <si>
    <t>Cheddar</t>
  </si>
  <si>
    <t>1706_2</t>
  </si>
  <si>
    <t>CHEDDAR</t>
  </si>
  <si>
    <t>Panino rosetta con prosciutto cotto</t>
  </si>
  <si>
    <t>Pane tipo rosetta o michetta o tartaruga</t>
  </si>
  <si>
    <t>Panino rosetta con prosciutto cotto e fontina</t>
  </si>
  <si>
    <t>Panino rosetta con salame</t>
  </si>
  <si>
    <t>Salame Brianza</t>
  </si>
  <si>
    <t>8718_2</t>
  </si>
  <si>
    <t>SALAME BRIANZA</t>
  </si>
  <si>
    <t>Panzanella</t>
  </si>
  <si>
    <t>Pappa al pomodoro</t>
  </si>
  <si>
    <t>Parmigiana di melanzane</t>
  </si>
  <si>
    <t>Passato di verdure senza patate e legumi</t>
  </si>
  <si>
    <t>CODE</t>
  </si>
  <si>
    <t>Pasta al pesto</t>
  </si>
  <si>
    <t>Pasta al pomodoro</t>
  </si>
  <si>
    <t>Pasta al ragù</t>
  </si>
  <si>
    <t>Pasta al tonno</t>
  </si>
  <si>
    <t>Pasta all'arrabbiata</t>
  </si>
  <si>
    <t>Pasta all'uovo in brodo</t>
  </si>
  <si>
    <t>Pasta alla carbonara</t>
  </si>
  <si>
    <t>Pecorino</t>
  </si>
  <si>
    <t>1721_2</t>
  </si>
  <si>
    <t>PECORINO</t>
  </si>
  <si>
    <t>Pasta alla Norma</t>
  </si>
  <si>
    <t>Ricotta salata (Auricchio)</t>
  </si>
  <si>
    <t>8746_2</t>
  </si>
  <si>
    <t>Pasta alle verdure</t>
  </si>
  <si>
    <t>Verdure miste</t>
  </si>
  <si>
    <t>Pasta allo scoglio</t>
  </si>
  <si>
    <t>Gambero</t>
  </si>
  <si>
    <t>Pasta con burro e parmigiano</t>
  </si>
  <si>
    <t>Pasta con gamberetti e zucchine</t>
  </si>
  <si>
    <t>Pasta con le sarde</t>
  </si>
  <si>
    <t>Sarda</t>
  </si>
  <si>
    <t>1319_2</t>
  </si>
  <si>
    <t>SARDA</t>
  </si>
  <si>
    <t>514_2</t>
  </si>
  <si>
    <t>Pinoli</t>
  </si>
  <si>
    <t>Zafferano</t>
  </si>
  <si>
    <t>8019_1</t>
  </si>
  <si>
    <t>ZAFFERANO</t>
  </si>
  <si>
    <t>Pasta con olio extravergine e parmigiano</t>
  </si>
  <si>
    <t>Pasta con panna, prosciutto e piselli</t>
  </si>
  <si>
    <t>Pasta con pomodorini e basilico (anche fredda)</t>
  </si>
  <si>
    <t>Pasta con pomodorini, mozzarella e basilico (anche fredda)</t>
  </si>
  <si>
    <t>Pasta e fagioli asciutta</t>
  </si>
  <si>
    <t>Pasta e fagioli in brodo</t>
  </si>
  <si>
    <t>Pasta integrale al pomodoro</t>
  </si>
  <si>
    <t>60091_1</t>
  </si>
  <si>
    <t>differenza</t>
  </si>
  <si>
    <t>n</t>
  </si>
  <si>
    <t>%</t>
  </si>
  <si>
    <t>Pasta integrale con verdure</t>
  </si>
  <si>
    <t>Pastina in brodo</t>
  </si>
  <si>
    <t>Patate a cubetti e cipolle al forno</t>
  </si>
  <si>
    <t>Patate a cubetti e fagiolini lessati e conditi</t>
  </si>
  <si>
    <t>Patate al cartoccio</t>
  </si>
  <si>
    <t>Patate al forno a cubetti con extravergine e spezie</t>
  </si>
  <si>
    <t>Patate lessate, condite</t>
  </si>
  <si>
    <t>Patatine fritte a bastoncino</t>
  </si>
  <si>
    <t>Olio Di Semi Vari</t>
  </si>
  <si>
    <t>902_2</t>
  </si>
  <si>
    <t>OLIO DI SEMI VARI</t>
  </si>
  <si>
    <t>Peperoni arrostiti</t>
  </si>
  <si>
    <t>Pesce spada alla griglia</t>
  </si>
  <si>
    <t>Pesce spada alla siciliana (pomodorini, capperi, olive)</t>
  </si>
  <si>
    <t>Capperi Sott'aceto</t>
  </si>
  <si>
    <t>777010_1</t>
  </si>
  <si>
    <t>CAPPERI SOTT'ACETO</t>
  </si>
  <si>
    <t>Petto di pollo ai ferri</t>
  </si>
  <si>
    <t>Petto di pollo alla mugnaia</t>
  </si>
  <si>
    <t>Petto di tacchino ai ferri</t>
  </si>
  <si>
    <t>Tacchino, Fesa (PETTO), Senza Pelle</t>
  </si>
  <si>
    <t>8697_2</t>
  </si>
  <si>
    <t>TACCHINO, FESA (PETTO), senza pelle</t>
  </si>
  <si>
    <t>Petto di tacchino alla mugnaia</t>
  </si>
  <si>
    <t>Piadina prosciutto e formaggio</t>
  </si>
  <si>
    <t>Piadina</t>
  </si>
  <si>
    <t>9090_2</t>
  </si>
  <si>
    <t>PIADINA</t>
  </si>
  <si>
    <t>9061_2</t>
  </si>
  <si>
    <t>1725_2</t>
  </si>
  <si>
    <t>SQUACQUERONE GRANAROLO</t>
  </si>
  <si>
    <t>Pinzimonio (ex carote, pomodorini, peperoni, rapanelli, cipollotto)</t>
  </si>
  <si>
    <t>Cipollotto rosso</t>
  </si>
  <si>
    <t>Piselli in padella con prosciutto cotto</t>
  </si>
  <si>
    <t>Piselli in padella con soffritto</t>
  </si>
  <si>
    <t>Piselli in padella con tonno</t>
  </si>
  <si>
    <t>Pizza alle verdure</t>
  </si>
  <si>
    <t>Pizza Con Pomodoro E Mozzarella</t>
  </si>
  <si>
    <t>76_1</t>
  </si>
  <si>
    <t>PIZZA CON POMODORO E MOZZARELLA</t>
  </si>
  <si>
    <t xml:space="preserve">Pizza con prosciutto </t>
  </si>
  <si>
    <t>Pizza margherita da pizzeria</t>
  </si>
  <si>
    <t>Pizza margherita in teglia - 'al trancio'</t>
  </si>
  <si>
    <t>Pizza marinara</t>
  </si>
  <si>
    <t>Pizza Con Pomodoro</t>
  </si>
  <si>
    <t>75_1</t>
  </si>
  <si>
    <t>PIZZA CON POMODORO</t>
  </si>
  <si>
    <t>Polenta</t>
  </si>
  <si>
    <t>Farina Di Mais</t>
  </si>
  <si>
    <t>13_1</t>
  </si>
  <si>
    <t>FARINA DI MAIS</t>
  </si>
  <si>
    <t>Pollo arrosto, con pelle</t>
  </si>
  <si>
    <t>Pollo, Intero, Con Pelle</t>
  </si>
  <si>
    <t>8677_2</t>
  </si>
  <si>
    <t>POLLO, INTERO, con pelle</t>
  </si>
  <si>
    <t>Pollo arrosto, senza pelle</t>
  </si>
  <si>
    <t>Pollo, Intero, Senza Pelle</t>
  </si>
  <si>
    <t>8678_2</t>
  </si>
  <si>
    <t>POLLO, INTERO, senza pelle</t>
  </si>
  <si>
    <t>Polpette, ricetta classica</t>
  </si>
  <si>
    <t>Mortadella Di Suino</t>
  </si>
  <si>
    <t>1155_2</t>
  </si>
  <si>
    <t>MORTADELLA DI SUINO</t>
  </si>
  <si>
    <t>Pomodori in insalata, conditi</t>
  </si>
  <si>
    <t>Porridge</t>
  </si>
  <si>
    <t>Fiocchi Di Avena</t>
  </si>
  <si>
    <t>16_1</t>
  </si>
  <si>
    <t>FIOCCHI DI AVENA</t>
  </si>
  <si>
    <t>Acqua</t>
  </si>
  <si>
    <t>999999_2</t>
  </si>
  <si>
    <t>ACQUA</t>
  </si>
  <si>
    <t>Purè</t>
  </si>
  <si>
    <t>889001_2</t>
  </si>
  <si>
    <t>Radicchio rosso alla piastra</t>
  </si>
  <si>
    <t xml:space="preserve">Radicchio rosso in insalata, condito </t>
  </si>
  <si>
    <t>Radicchio verde in insalata, condito</t>
  </si>
  <si>
    <t>Radicchio Verde</t>
  </si>
  <si>
    <t>340_1</t>
  </si>
  <si>
    <t>RADICCHIO VERDE</t>
  </si>
  <si>
    <t>Ratatouille - verdure a cubetti in padella - ex melanzane, peperoni, zucchine e pomodori</t>
  </si>
  <si>
    <t>Ravioli di carne con burro e salvia</t>
  </si>
  <si>
    <t>53_1</t>
  </si>
  <si>
    <t>Ravioli di carne con olio e parmigiano</t>
  </si>
  <si>
    <t>Ravioli di carne con sugo al pomodoro</t>
  </si>
  <si>
    <t>Ravioli ricotta e spinaci con burro e salvia</t>
  </si>
  <si>
    <t>Tortelloni ricotta e spinaci ( ex tortelloni Rana)</t>
  </si>
  <si>
    <t>NO BDA</t>
  </si>
  <si>
    <t>Ravioli ricotta e spinaci con olio e parmigiano</t>
  </si>
  <si>
    <t>Ravioli ricotta e spinaci con sugo al pomodoro</t>
  </si>
  <si>
    <t>8075_2</t>
  </si>
  <si>
    <t>Riso bollito con piselli</t>
  </si>
  <si>
    <t>Riso con gamberetti e zucchine</t>
  </si>
  <si>
    <t>Riso e lenticchie</t>
  </si>
  <si>
    <t>Riso in bianco, con extravergine</t>
  </si>
  <si>
    <t>Riso in bianco, con extravergine e parmigiano</t>
  </si>
  <si>
    <t>Riso in brodo</t>
  </si>
  <si>
    <t>Riso integrale bollito con extravergine</t>
  </si>
  <si>
    <t>500010_1</t>
  </si>
  <si>
    <t>8834_2</t>
  </si>
  <si>
    <t>Risotto ai frutti di mare</t>
  </si>
  <si>
    <t>Risotto ai funghi</t>
  </si>
  <si>
    <t>Risotto al radicchio</t>
  </si>
  <si>
    <t>Risotto alla milanese</t>
  </si>
  <si>
    <t>Risotto alla parmigiana</t>
  </si>
  <si>
    <t>Roast beef all'inglese con rucola e grana</t>
  </si>
  <si>
    <t xml:space="preserve">Roast-beef all'inglese </t>
  </si>
  <si>
    <t>Salmone al forno</t>
  </si>
  <si>
    <t>Salmone</t>
  </si>
  <si>
    <t>700405_2</t>
  </si>
  <si>
    <t>SALMONE</t>
  </si>
  <si>
    <t>Salmone alla griglia</t>
  </si>
  <si>
    <t>Sauté di cozze e vongole</t>
  </si>
  <si>
    <t xml:space="preserve">Scaloppina di vitello al limone </t>
  </si>
  <si>
    <t>Scarola cotta, condita</t>
  </si>
  <si>
    <t>Scarola</t>
  </si>
  <si>
    <t>100181_1</t>
  </si>
  <si>
    <t>SCAROLA</t>
  </si>
  <si>
    <t>Scarola riccia in insalata, condita</t>
  </si>
  <si>
    <t>Scorzonera o radici amare lessate con extravergine</t>
  </si>
  <si>
    <t>Scorzonera</t>
  </si>
  <si>
    <t>500013_1</t>
  </si>
  <si>
    <t>SCORZONERA</t>
  </si>
  <si>
    <t>Seppie in umido</t>
  </si>
  <si>
    <t>Sogliola alla griglia</t>
  </si>
  <si>
    <t>Sogliola</t>
  </si>
  <si>
    <t>1322_2</t>
  </si>
  <si>
    <t>SOGLIOLA</t>
  </si>
  <si>
    <t>Sogliola alla mugnaia</t>
  </si>
  <si>
    <t>Sogliola impanata</t>
  </si>
  <si>
    <t>Spaghetti alle vongole</t>
  </si>
  <si>
    <t>Spaghetti con aglio, olio extravergine e peperoncino</t>
  </si>
  <si>
    <t>Spezzatino</t>
  </si>
  <si>
    <t>Spiedini di carne</t>
  </si>
  <si>
    <t>Salsiccia Di Suino, Fresca</t>
  </si>
  <si>
    <t>1149_2</t>
  </si>
  <si>
    <t>SALSICCIA DI SUINO, fresca</t>
  </si>
  <si>
    <t>Suino, Carne Semigrassa, Senza Grasso Visibile</t>
  </si>
  <si>
    <t>1040_2</t>
  </si>
  <si>
    <t>SUINO, CARNE SEMIGRASSA, senza grasso visibile</t>
  </si>
  <si>
    <t>Peperoni</t>
  </si>
  <si>
    <t>Spiedini di pesce</t>
  </si>
  <si>
    <t>Spiedini di pollo e tacchino</t>
  </si>
  <si>
    <t>Tacchino, Intero, Senza Pelle</t>
  </si>
  <si>
    <t>8785_2</t>
  </si>
  <si>
    <t>TACCHINO, INTERO, senza pelle</t>
  </si>
  <si>
    <t>Salsiccia di pollo e tacchino con suino Amadori</t>
  </si>
  <si>
    <t>Spigola o branzino al forno</t>
  </si>
  <si>
    <t>Spigola o branzino alla griglia</t>
  </si>
  <si>
    <t>Spinaci lessati con extravergine</t>
  </si>
  <si>
    <t xml:space="preserve">Stracciatella alla romana </t>
  </si>
  <si>
    <t>Strudel di mele</t>
  </si>
  <si>
    <t>Limone, Scorza</t>
  </si>
  <si>
    <t>606512_2</t>
  </si>
  <si>
    <t>LIMONE, SCORZA</t>
  </si>
  <si>
    <t>Tagliata di manzo</t>
  </si>
  <si>
    <t>Tagliatelle al ragù</t>
  </si>
  <si>
    <t>Tagliolini Cacio e pepe</t>
  </si>
  <si>
    <t>Tartare di manzo</t>
  </si>
  <si>
    <t xml:space="preserve">Senape </t>
  </si>
  <si>
    <t>100286_1</t>
  </si>
  <si>
    <t>SENAPE</t>
  </si>
  <si>
    <t xml:space="preserve">Toast </t>
  </si>
  <si>
    <t>600050_1</t>
  </si>
  <si>
    <t>Sottilette</t>
  </si>
  <si>
    <t>1799_2</t>
  </si>
  <si>
    <t>SOTTILETTE</t>
  </si>
  <si>
    <t>Tonno alla griglia</t>
  </si>
  <si>
    <t>Tonno</t>
  </si>
  <si>
    <t>1325_2</t>
  </si>
  <si>
    <t>TONNO</t>
  </si>
  <si>
    <t>Tonno e fagioli</t>
  </si>
  <si>
    <t>Torta di mele</t>
  </si>
  <si>
    <t>Torta margherita classica</t>
  </si>
  <si>
    <t>Tortellini in brodo</t>
  </si>
  <si>
    <t>Uova al tegamino</t>
  </si>
  <si>
    <t>Uova strapazzate</t>
  </si>
  <si>
    <t>Uovo sodo</t>
  </si>
  <si>
    <t>Verdura cotta, condita</t>
  </si>
  <si>
    <t>Verdura cruda mista, condita</t>
  </si>
  <si>
    <t>Verdura cruda in foglia</t>
  </si>
  <si>
    <t>Ortaggi misti ( pomodori, carote, sedano peperoni, ravanelli, finoccchi)</t>
  </si>
  <si>
    <t>Verdure grigliate (melanzane, peperoni, zucchine e radicchio)</t>
  </si>
  <si>
    <t>Verze in padella</t>
  </si>
  <si>
    <t>Yogurt bianco intero con miele</t>
  </si>
  <si>
    <t>Yogurt Di Latte Intero</t>
  </si>
  <si>
    <t>1630_2</t>
  </si>
  <si>
    <t>YOGURT DI LATTE INTERO</t>
  </si>
  <si>
    <t>Miele liquido (ex: castagno, acacia)</t>
  </si>
  <si>
    <t>2017_1</t>
  </si>
  <si>
    <t>MIELE</t>
  </si>
  <si>
    <t xml:space="preserve">Zucchine lessate o al vapore, condite </t>
  </si>
  <si>
    <t>Zucchine trifolate</t>
  </si>
  <si>
    <t>Zuppa di cipolle</t>
  </si>
  <si>
    <t>Zuppa di legumi</t>
  </si>
  <si>
    <t>Piselli, Secchi</t>
  </si>
  <si>
    <t>206_1</t>
  </si>
  <si>
    <t>PISELLI, secchi</t>
  </si>
  <si>
    <t>Bieta</t>
  </si>
  <si>
    <t>Zuppa di legumi e cereali</t>
  </si>
  <si>
    <t>Zuppa di pesce (con crostacei)</t>
  </si>
  <si>
    <t>Pesce intero, in filetti o tranci</t>
  </si>
  <si>
    <t>701264_2</t>
  </si>
  <si>
    <t>9070_2</t>
  </si>
  <si>
    <t>Zuppa di porri, verza e patate</t>
  </si>
  <si>
    <t>Codice Alimento</t>
  </si>
  <si>
    <t>Nome Alimento ITA</t>
  </si>
  <si>
    <t>Categoria Merceologica</t>
  </si>
  <si>
    <t>parte edibile</t>
  </si>
  <si>
    <t>Energia, Ric con fibra</t>
  </si>
  <si>
    <t>Carboidrati solubili (MSE)</t>
  </si>
  <si>
    <t>Lipidi totali</t>
  </si>
  <si>
    <t>Acidi grassi saturi totali</t>
  </si>
  <si>
    <t>Sale</t>
  </si>
  <si>
    <t>Fibra alimentare totale</t>
  </si>
  <si>
    <t>Proteine totali</t>
  </si>
  <si>
    <t>Carboidrati disponibili (MSE)</t>
  </si>
  <si>
    <t>Sodio</t>
  </si>
  <si>
    <t>Cloro</t>
  </si>
  <si>
    <t>Food Code</t>
  </si>
  <si>
    <t>Food Name ITA</t>
  </si>
  <si>
    <t>Food Category</t>
  </si>
  <si>
    <t>edible part</t>
  </si>
  <si>
    <t>Energy, Rec with fibre</t>
  </si>
  <si>
    <t>Soluble carbohydrates (MSE)</t>
  </si>
  <si>
    <t>Total fat</t>
  </si>
  <si>
    <t>Saturated fatty acids</t>
  </si>
  <si>
    <t>Salt</t>
  </si>
  <si>
    <t>Dietary total fibre</t>
  </si>
  <si>
    <t>Total protein</t>
  </si>
  <si>
    <t>Available carbohydrates (MSE)</t>
  </si>
  <si>
    <t>Sodium</t>
  </si>
  <si>
    <t>Chloride</t>
  </si>
  <si>
    <t>Water</t>
  </si>
  <si>
    <t>g</t>
  </si>
  <si>
    <t>kcal</t>
  </si>
  <si>
    <t>kJ</t>
  </si>
  <si>
    <t>mg</t>
  </si>
  <si>
    <t>ORTAGGI MISTI (pomodori, carote, sedano peperoni, ravanelli, finoccchi)</t>
  </si>
  <si>
    <t xml:space="preserve">media dati Bda IEO  </t>
  </si>
  <si>
    <t>Dati senape media Esselunga 2017</t>
  </si>
  <si>
    <t>Esselunga, senape media</t>
  </si>
  <si>
    <t>Esselunga, senape forte tipo Dijon</t>
  </si>
  <si>
    <t>Esselunga, senape delicata</t>
  </si>
  <si>
    <t>VERDURA CRUDA IN FOGLIA</t>
  </si>
  <si>
    <t>Media calcolata dalle verdure in foglia presenti nel db IEO</t>
  </si>
  <si>
    <t>VERDURA COTTA</t>
  </si>
  <si>
    <t>Media calcolata dalle verdure solitamente consumate dopo cotture presenti nel db IEO</t>
  </si>
  <si>
    <t>VERDURE MISTE</t>
  </si>
  <si>
    <t>alimenti simili</t>
  </si>
  <si>
    <t>verza</t>
  </si>
  <si>
    <t>CAVOLO CAPPUCCIO, VERDE</t>
  </si>
  <si>
    <t>passata di pomodoro</t>
  </si>
  <si>
    <t>POMODORO, CONSERVA (sostanza secca 30%)</t>
  </si>
  <si>
    <t>nervetti</t>
  </si>
  <si>
    <t>BOVINO, LESSATO IN GELATINA, IN SCATOLA</t>
  </si>
  <si>
    <t>farro</t>
  </si>
  <si>
    <t>inserito codice corrispondente al farro in BDA 2022</t>
  </si>
  <si>
    <t>ricotta salata</t>
  </si>
  <si>
    <t>CACIORICOTTA DI CAPRA</t>
  </si>
  <si>
    <t>STRACCHINO</t>
  </si>
  <si>
    <t>Ricetta PESTO</t>
  </si>
  <si>
    <t>GNOCCHI DI PATATE x4-5</t>
  </si>
  <si>
    <t>x4-5 persone</t>
  </si>
  <si>
    <t>1 persona</t>
  </si>
  <si>
    <t>besciamella</t>
  </si>
  <si>
    <t>PASTA DI SEMOLA, CRUDA</t>
  </si>
  <si>
    <t>TONNO, SOTT'OLIO, sgocciolato</t>
  </si>
  <si>
    <t>POMODORI, MATURI</t>
  </si>
  <si>
    <t>PEPERONCINI, PICCANTI</t>
  </si>
  <si>
    <t>RICOTTA DI VACCA</t>
  </si>
  <si>
    <t>UVA SULTANINA, UVETTA, UVA SECCA</t>
  </si>
  <si>
    <t>PASTA DI SEMOLA, INTEGRALE, cruda</t>
  </si>
  <si>
    <t>PEPERONI, DOLCI</t>
  </si>
  <si>
    <t>OLIVE, NERE</t>
  </si>
  <si>
    <t>PROSCIUTTO CRUDO, SAN DANIELE</t>
  </si>
  <si>
    <t>PANE, GRATTUGIATO</t>
  </si>
  <si>
    <t>POMODORI, DA INSALATA</t>
  </si>
  <si>
    <t>LATTE DI VACCA, INTERO, PASTORIZZATO</t>
  </si>
  <si>
    <t>QUINOA, cotta</t>
  </si>
  <si>
    <t>QUINOA, cotta bollita con extravergine</t>
  </si>
  <si>
    <t>QUINOA, cotta con dadini di verdure</t>
  </si>
  <si>
    <t>TORTELLINI, freschi, crudi</t>
  </si>
  <si>
    <t>RISO, BASMATI, crudo bollito</t>
  </si>
  <si>
    <t>RISO, BASMATI, crudo</t>
  </si>
  <si>
    <t>RISO, BRILLATO, crudo</t>
  </si>
  <si>
    <t>RISO, INTEGRALE, crudo</t>
  </si>
  <si>
    <t>RISO, VENERE, CRUDO bollito con extravergine</t>
  </si>
  <si>
    <t>RISO, VENERE, CRUDO</t>
  </si>
  <si>
    <t>ORZO, PERLATO, CRUDO</t>
  </si>
  <si>
    <t>Riso, orzo e FARRO, CRUDO bolliti con extravergine</t>
  </si>
  <si>
    <t>FARRO, CRUDO</t>
  </si>
  <si>
    <t>FUNGHI, PORCINI</t>
  </si>
  <si>
    <t>SALSICCIA DI SUINO E BOVINO, fresca</t>
  </si>
  <si>
    <t>PANE, TIPO PANCARRE', BIANCO</t>
  </si>
  <si>
    <t>INSALATA, NS</t>
  </si>
  <si>
    <t>PESCE, NS, CON LISCA</t>
  </si>
  <si>
    <t>CROSTACEI, NS</t>
  </si>
  <si>
    <t>GELATO CONFEZIONATO, PANNA O FIORDILATTE, IN VASCHETTA</t>
  </si>
  <si>
    <t>ASPARAGI, DI CAMPO</t>
  </si>
  <si>
    <t>CAVOLO CAPPUCCIO, ROSSO</t>
  </si>
  <si>
    <t>Cavolo Cappuccio, rosso</t>
  </si>
  <si>
    <t>ZUCCA, GIALLA</t>
  </si>
  <si>
    <t>CONFETTURA (MARMELLATA) DI FRUTTA, NORMALE ED EXTRA</t>
  </si>
  <si>
    <t>FARRO, crudo bollito condito con extravergine</t>
  </si>
  <si>
    <t>FARRO, crudo</t>
  </si>
  <si>
    <t>Insalata di FARRO, crudo con verdure a cubetti saltate o grigliate</t>
  </si>
  <si>
    <t>Insalata di FARRO, crudo riso e orzo con dadini di verdure</t>
  </si>
  <si>
    <t>Insalata di FARRO, crudo riso e orzo con piselli e olio a crudo</t>
  </si>
  <si>
    <t>FUNGHI, CHIODINI</t>
  </si>
  <si>
    <t>FUNGHI, GALLINACCI</t>
  </si>
  <si>
    <t>FUNGHI, PRATAIOLI, COLTIVATI</t>
  </si>
  <si>
    <t>GELATO CONFEZIONATO, CACAO O CIOCCOLATO, IN VASCHETTA</t>
  </si>
  <si>
    <t>ORZO, PERLATO, crudo</t>
  </si>
  <si>
    <t>CETRIOLINI, SOTT'ACETO</t>
  </si>
  <si>
    <t>CIPOLLINE, SOTT'ACETO</t>
  </si>
  <si>
    <t>Peperoni, dolci</t>
  </si>
  <si>
    <t>FAGIOLI, IN SCATOLA</t>
  </si>
  <si>
    <t>PASTA DI SEMOLA, cruda</t>
  </si>
  <si>
    <t>ORATA, D'ALLEVAMENTO, FILETTI</t>
  </si>
  <si>
    <t>PASTA DI SEMOLA, cruda, cruda</t>
  </si>
  <si>
    <t>PANE, TOSTATO</t>
  </si>
  <si>
    <t>BOVINO, VITELLONE, 15-18 MESI, TAGLI DI CARNE SEMIGRASSA, senza grasso visibile</t>
  </si>
  <si>
    <t>CAVOLO CAPPUCCIO,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</si>
</sst>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"/>
    </font>
    <font>
      <sz val="10"/>
      <color rgb="FF000000"/>
      <name val="Tahoma"/>
      <family val="2"/>
    </font>
    <font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0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2" fillId="0" borderId="0"/>
    <xf numFmtId="0" fontId="1" fillId="0" borderId="0"/>
    <xf numFmtId="0" fontId="1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3" fillId="3" borderId="0" xfId="0" applyFont="1" applyFill="1" applyAlignment="1">
      <alignment horizontal="right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3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0" xfId="1" applyNumberFormat="1" applyFont="1" applyFill="1" applyAlignment="1">
      <alignment horizontal="center"/>
    </xf>
    <xf numFmtId="0" fontId="9" fillId="8" borderId="3" xfId="0" applyFont="1" applyFill="1" applyBorder="1"/>
    <xf numFmtId="0" fontId="9" fillId="8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left"/>
    </xf>
    <xf numFmtId="0" fontId="9" fillId="8" borderId="3" xfId="4" applyFont="1" applyFill="1" applyBorder="1" applyAlignment="1">
      <alignment horizontal="center" vertical="top"/>
    </xf>
    <xf numFmtId="0" fontId="9" fillId="0" borderId="3" xfId="4" applyFont="1" applyBorder="1" applyAlignment="1">
      <alignment horizontal="center" vertical="top"/>
    </xf>
    <xf numFmtId="0" fontId="9" fillId="0" borderId="3" xfId="3" applyFont="1" applyBorder="1" applyAlignment="1">
      <alignment vertical="top"/>
    </xf>
    <xf numFmtId="0" fontId="9" fillId="9" borderId="3" xfId="0" applyFont="1" applyFill="1" applyBorder="1" applyAlignment="1">
      <alignment vertical="top"/>
    </xf>
    <xf numFmtId="0" fontId="9" fillId="9" borderId="3" xfId="0" applyFont="1" applyFill="1" applyBorder="1" applyAlignment="1">
      <alignment horizontal="center" vertical="top"/>
    </xf>
    <xf numFmtId="0" fontId="7" fillId="0" borderId="2" xfId="3" applyFont="1" applyBorder="1" applyAlignment="1">
      <alignment vertical="center"/>
    </xf>
    <xf numFmtId="0" fontId="7" fillId="0" borderId="2" xfId="3" applyFont="1" applyBorder="1" applyAlignment="1">
      <alignment horizontal="right" vertical="center"/>
    </xf>
    <xf numFmtId="0" fontId="7" fillId="0" borderId="2" xfId="3" applyFont="1" applyBorder="1" applyAlignment="1">
      <alignment horizontal="center" vertical="center"/>
    </xf>
    <xf numFmtId="2" fontId="7" fillId="0" borderId="2" xfId="3" applyNumberFormat="1" applyFont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7" fillId="0" borderId="4" xfId="3" applyFont="1" applyBorder="1" applyAlignment="1">
      <alignment horizontal="center" vertical="center"/>
    </xf>
    <xf numFmtId="0" fontId="0" fillId="3" borderId="0" xfId="0" applyFill="1"/>
    <xf numFmtId="0" fontId="9" fillId="9" borderId="3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righ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6" borderId="0" xfId="0" applyFill="1"/>
    <xf numFmtId="2" fontId="0" fillId="6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4" borderId="1" xfId="0" applyFill="1" applyBorder="1" applyAlignment="1">
      <alignment wrapText="1"/>
    </xf>
    <xf numFmtId="0" fontId="5" fillId="0" borderId="0" xfId="0" applyFont="1" applyAlignment="1">
      <alignment horizontal="right"/>
    </xf>
    <xf numFmtId="1" fontId="12" fillId="3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2" fontId="12" fillId="3" borderId="0" xfId="0" applyNumberFormat="1" applyFont="1" applyFill="1" applyAlignment="1">
      <alignment horizontal="center"/>
    </xf>
    <xf numFmtId="0" fontId="12" fillId="0" borderId="0" xfId="0" applyFont="1"/>
    <xf numFmtId="0" fontId="12" fillId="4" borderId="1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left"/>
    </xf>
    <xf numFmtId="0" fontId="8" fillId="0" borderId="2" xfId="3" applyFont="1" applyBorder="1" applyAlignment="1">
      <alignment horizontal="center" vertical="center"/>
    </xf>
    <xf numFmtId="164" fontId="12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0" fillId="10" borderId="0" xfId="0" applyFill="1"/>
    <xf numFmtId="0" fontId="0" fillId="10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0" xfId="0" applyFont="1" applyAlignment="1">
      <alignment horizontal="left"/>
    </xf>
    <xf numFmtId="0" fontId="11" fillId="0" borderId="2" xfId="0" applyFont="1" applyBorder="1" applyAlignment="1">
      <alignment vertical="center"/>
    </xf>
    <xf numFmtId="0" fontId="3" fillId="11" borderId="0" xfId="0" applyFont="1" applyFill="1"/>
    <xf numFmtId="0" fontId="0" fillId="12" borderId="0" xfId="0" applyFill="1"/>
    <xf numFmtId="0" fontId="7" fillId="12" borderId="2" xfId="3" applyFont="1" applyFill="1" applyBorder="1" applyAlignment="1">
      <alignment horizontal="right" vertical="center"/>
    </xf>
    <xf numFmtId="1" fontId="0" fillId="0" borderId="0" xfId="0" applyNumberFormat="1"/>
    <xf numFmtId="0" fontId="11" fillId="0" borderId="2" xfId="0" applyFont="1" applyBorder="1" applyAlignment="1">
      <alignment horizontal="right" vertical="center"/>
    </xf>
    <xf numFmtId="1" fontId="0" fillId="10" borderId="0" xfId="0" applyNumberFormat="1" applyFill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" fontId="11" fillId="0" borderId="2" xfId="0" applyNumberFormat="1" applyFont="1" applyBorder="1" applyAlignment="1">
      <alignment vertical="center"/>
    </xf>
    <xf numFmtId="1" fontId="11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right"/>
    </xf>
    <xf numFmtId="1" fontId="0" fillId="0" borderId="0" xfId="0" applyNumberFormat="1" applyAlignment="1">
      <alignment horizontal="right"/>
    </xf>
    <xf numFmtId="2" fontId="0" fillId="3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1" fontId="0" fillId="0" borderId="0" xfId="1" applyNumberFormat="1" applyFont="1" applyAlignment="1">
      <alignment horizontal="right"/>
    </xf>
    <xf numFmtId="0" fontId="7" fillId="0" borderId="4" xfId="3" applyFont="1" applyBorder="1" applyAlignment="1">
      <alignment horizontal="right" vertical="center"/>
    </xf>
    <xf numFmtId="1" fontId="0" fillId="3" borderId="0" xfId="0" applyNumberFormat="1" applyFill="1" applyAlignment="1">
      <alignment horizontal="right"/>
    </xf>
    <xf numFmtId="0" fontId="7" fillId="0" borderId="0" xfId="3" applyFont="1" applyAlignment="1">
      <alignment horizontal="right" vertical="center"/>
    </xf>
    <xf numFmtId="1" fontId="0" fillId="7" borderId="0" xfId="0" applyNumberFormat="1" applyFill="1" applyAlignment="1">
      <alignment horizontal="right"/>
    </xf>
    <xf numFmtId="0" fontId="0" fillId="0" borderId="2" xfId="0" applyBorder="1" applyAlignment="1">
      <alignment vertical="center"/>
    </xf>
  </cellXfs>
  <cellStyles count="5">
    <cellStyle name="Normal" xfId="0" builtinId="0"/>
    <cellStyle name="Normale 2 2" xfId="2" xr:uid="{00000000-0005-0000-0000-000001000000}"/>
    <cellStyle name="Normale 2 2 2" xfId="3" xr:uid="{00000000-0005-0000-0000-000002000000}"/>
    <cellStyle name="Normale_Foglio1" xfId="4" xr:uid="{00000000-0005-0000-0000-000003000000}"/>
    <cellStyle name="Percent" xfId="1" builtinId="5"/>
  </cellStyles>
  <dxfs count="0"/>
  <tableStyles count="0" defaultTableStyle="TableStyleMedium2" defaultPivotStyle="PivotStyleLight16"/>
  <colors>
    <mruColors>
      <color rgb="FF58D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06"/>
  <sheetViews>
    <sheetView tabSelected="1" zoomScale="66" zoomScaleNormal="8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H21" sqref="H21"/>
    </sheetView>
  </sheetViews>
  <sheetFormatPr defaultColWidth="11.44140625" defaultRowHeight="14.4" x14ac:dyDescent="0.3"/>
  <cols>
    <col min="1" max="1" width="39.88671875" customWidth="1"/>
    <col min="2" max="2" width="8" style="1" bestFit="1" customWidth="1"/>
    <col min="3" max="3" width="7.109375" customWidth="1"/>
    <col min="4" max="4" width="21.33203125" style="17" customWidth="1"/>
    <col min="5" max="5" width="48.44140625" customWidth="1"/>
    <col min="6" max="6" width="9.6640625" customWidth="1"/>
    <col min="7" max="7" width="8.33203125" bestFit="1" customWidth="1"/>
    <col min="8" max="8" width="21" bestFit="1" customWidth="1"/>
    <col min="9" max="9" width="11.77734375" bestFit="1" customWidth="1"/>
    <col min="10" max="10" width="23.21875" bestFit="1" customWidth="1"/>
    <col min="11" max="11" width="21.33203125" bestFit="1" customWidth="1"/>
    <col min="12" max="12" width="13.21875" bestFit="1" customWidth="1"/>
    <col min="13" max="13" width="15.109375" bestFit="1" customWidth="1"/>
    <col min="14" max="14" width="15.44140625" bestFit="1" customWidth="1"/>
    <col min="15" max="15" width="10.5546875" bestFit="1" customWidth="1"/>
    <col min="16" max="16" width="12.33203125" bestFit="1" customWidth="1"/>
    <col min="17" max="17" width="12.6640625" bestFit="1" customWidth="1"/>
    <col min="18" max="18" width="10.6640625" bestFit="1" customWidth="1"/>
    <col min="19" max="19" width="24.88671875" bestFit="1" customWidth="1"/>
    <col min="20" max="20" width="11.109375" bestFit="1" customWidth="1"/>
    <col min="21" max="21" width="22.109375" bestFit="1" customWidth="1"/>
    <col min="22" max="22" width="20.6640625" bestFit="1" customWidth="1"/>
    <col min="23" max="23" width="5.109375" bestFit="1" customWidth="1"/>
    <col min="24" max="24" width="6.21875" bestFit="1" customWidth="1"/>
    <col min="25" max="25" width="5.5546875" bestFit="1" customWidth="1"/>
    <col min="26" max="26" width="6.21875" bestFit="1" customWidth="1"/>
    <col min="27" max="27" width="5.6640625" bestFit="1" customWidth="1"/>
    <col min="28" max="28" width="8.33203125" bestFit="1" customWidth="1"/>
    <col min="29" max="29" width="7.21875" bestFit="1" customWidth="1"/>
    <col min="30" max="30" width="5.5546875" bestFit="1" customWidth="1"/>
    <col min="31" max="31" width="9.109375" bestFit="1" customWidth="1"/>
    <col min="32" max="32" width="5.77734375" bestFit="1" customWidth="1"/>
    <col min="33" max="33" width="7.21875" bestFit="1" customWidth="1"/>
    <col min="34" max="34" width="5.5546875" bestFit="1" customWidth="1"/>
    <col min="35" max="35" width="5.44140625" bestFit="1" customWidth="1"/>
    <col min="36" max="36" width="10.6640625" bestFit="1" customWidth="1"/>
    <col min="37" max="37" width="5.109375" bestFit="1" customWidth="1"/>
    <col min="38" max="38" width="18.88671875" bestFit="1" customWidth="1"/>
    <col min="39" max="39" width="21.5546875" bestFit="1" customWidth="1"/>
    <col min="40" max="40" width="10" bestFit="1" customWidth="1"/>
    <col min="41" max="41" width="7.44140625" bestFit="1" customWidth="1"/>
    <col min="42" max="42" width="11.109375" bestFit="1" customWidth="1"/>
    <col min="43" max="43" width="10.6640625" bestFit="1" customWidth="1"/>
    <col min="44" max="44" width="16.21875" bestFit="1" customWidth="1"/>
    <col min="45" max="45" width="7.109375" bestFit="1" customWidth="1"/>
    <col min="46" max="46" width="12.109375" bestFit="1" customWidth="1"/>
    <col min="47" max="47" width="21.5546875" bestFit="1" customWidth="1"/>
    <col min="48" max="48" width="8.21875" bestFit="1" customWidth="1"/>
    <col min="49" max="49" width="20.21875" bestFit="1" customWidth="1"/>
    <col min="50" max="50" width="14.109375" bestFit="1" customWidth="1"/>
    <col min="51" max="51" width="10.21875" bestFit="1" customWidth="1"/>
    <col min="52" max="52" width="10" bestFit="1" customWidth="1"/>
    <col min="53" max="53" width="20.77734375" bestFit="1" customWidth="1"/>
    <col min="54" max="54" width="70.77734375" bestFit="1" customWidth="1"/>
    <col min="55" max="55" width="18.21875" bestFit="1" customWidth="1"/>
    <col min="56" max="56" width="19.6640625" bestFit="1" customWidth="1"/>
    <col min="57" max="57" width="20.21875" bestFit="1" customWidth="1"/>
    <col min="58" max="58" width="19.33203125" bestFit="1" customWidth="1"/>
    <col min="59" max="59" width="21.109375" bestFit="1" customWidth="1"/>
    <col min="60" max="60" width="19" bestFit="1" customWidth="1"/>
    <col min="61" max="61" width="27.33203125" bestFit="1" customWidth="1"/>
    <col min="62" max="62" width="22.44140625" bestFit="1" customWidth="1"/>
    <col min="63" max="63" width="26" bestFit="1" customWidth="1"/>
    <col min="64" max="64" width="22.88671875" bestFit="1" customWidth="1"/>
    <col min="65" max="65" width="25" bestFit="1" customWidth="1"/>
    <col min="66" max="66" width="21.5546875" bestFit="1" customWidth="1"/>
    <col min="67" max="67" width="25.109375" bestFit="1" customWidth="1"/>
    <col min="68" max="68" width="22.77734375" bestFit="1" customWidth="1"/>
    <col min="69" max="69" width="23.77734375" bestFit="1" customWidth="1"/>
    <col min="70" max="70" width="26.33203125" bestFit="1" customWidth="1"/>
    <col min="71" max="71" width="36.21875" bestFit="1" customWidth="1"/>
    <col min="72" max="72" width="35.21875" bestFit="1" customWidth="1"/>
    <col min="73" max="73" width="24.109375" bestFit="1" customWidth="1"/>
    <col min="74" max="74" width="9.6640625" bestFit="1" customWidth="1"/>
    <col min="75" max="75" width="8.44140625" bestFit="1" customWidth="1"/>
    <col min="76" max="76" width="9.6640625" bestFit="1" customWidth="1"/>
    <col min="77" max="77" width="7.6640625" bestFit="1" customWidth="1"/>
    <col min="78" max="78" width="6.109375" bestFit="1" customWidth="1"/>
    <col min="79" max="79" width="9.6640625" bestFit="1" customWidth="1"/>
    <col min="80" max="80" width="6.88671875" bestFit="1" customWidth="1"/>
    <col min="81" max="81" width="11.33203125" bestFit="1" customWidth="1"/>
    <col min="82" max="82" width="7.77734375" bestFit="1" customWidth="1"/>
    <col min="83" max="83" width="6.33203125" bestFit="1" customWidth="1"/>
    <col min="84" max="84" width="7.88671875" bestFit="1" customWidth="1"/>
    <col min="85" max="86" width="7.44140625" bestFit="1" customWidth="1"/>
    <col min="87" max="87" width="14" bestFit="1" customWidth="1"/>
    <col min="88" max="88" width="16" bestFit="1" customWidth="1"/>
    <col min="89" max="89" width="6.88671875" bestFit="1" customWidth="1"/>
    <col min="90" max="90" width="7.109375" bestFit="1" customWidth="1"/>
    <col min="91" max="91" width="6.33203125" bestFit="1" customWidth="1"/>
    <col min="92" max="92" width="8.33203125" bestFit="1" customWidth="1"/>
    <col min="93" max="93" width="8.5546875" bestFit="1" customWidth="1"/>
    <col min="94" max="94" width="9.88671875" bestFit="1" customWidth="1"/>
    <col min="95" max="95" width="14.88671875" bestFit="1" customWidth="1"/>
    <col min="96" max="96" width="13.21875" bestFit="1" customWidth="1"/>
    <col min="97" max="97" width="12.6640625" bestFit="1" customWidth="1"/>
  </cols>
  <sheetData>
    <row r="1" spans="1:7" x14ac:dyDescent="0.3">
      <c r="A1" s="57"/>
      <c r="B1" s="58"/>
      <c r="D1" s="47"/>
      <c r="E1" s="4"/>
      <c r="F1" s="4"/>
      <c r="G1" s="6"/>
    </row>
    <row r="2" spans="1:7" x14ac:dyDescent="0.3">
      <c r="A2" s="57"/>
      <c r="B2" s="59" t="s">
        <v>0</v>
      </c>
      <c r="D2" s="64" t="s">
        <v>1</v>
      </c>
      <c r="E2" s="7" t="s">
        <v>2</v>
      </c>
      <c r="F2" s="7" t="s">
        <v>3</v>
      </c>
      <c r="G2" s="5" t="s">
        <v>4</v>
      </c>
    </row>
    <row r="3" spans="1:7" x14ac:dyDescent="0.3">
      <c r="A3" s="60" t="s">
        <v>5</v>
      </c>
      <c r="B3" s="58"/>
    </row>
    <row r="4" spans="1:7" x14ac:dyDescent="0.3">
      <c r="A4" s="57" t="s">
        <v>6</v>
      </c>
      <c r="B4" s="58">
        <v>50</v>
      </c>
      <c r="D4" s="9" t="s">
        <v>7</v>
      </c>
      <c r="E4" s="8" t="s">
        <v>8</v>
      </c>
      <c r="F4" s="9">
        <v>50</v>
      </c>
      <c r="G4" s="32">
        <v>2</v>
      </c>
    </row>
    <row r="5" spans="1:7" x14ac:dyDescent="0.3">
      <c r="A5" s="57" t="s">
        <v>870</v>
      </c>
      <c r="B5" s="58">
        <v>100</v>
      </c>
      <c r="D5" s="9" t="s">
        <v>9</v>
      </c>
      <c r="E5" s="8" t="s">
        <v>870</v>
      </c>
      <c r="F5" s="9">
        <v>100</v>
      </c>
      <c r="G5" s="32">
        <v>189</v>
      </c>
    </row>
    <row r="6" spans="1:7" x14ac:dyDescent="0.3">
      <c r="A6" s="60" t="s">
        <v>10</v>
      </c>
      <c r="B6" s="58">
        <v>150</v>
      </c>
      <c r="E6" s="10" t="s">
        <v>11</v>
      </c>
      <c r="F6" s="12">
        <f>SUM(F3:F5)</f>
        <v>150</v>
      </c>
      <c r="G6" s="13">
        <f>(G4*$F4+G5*$F5)/$F6</f>
        <v>126.66666666666667</v>
      </c>
    </row>
    <row r="7" spans="1:7" x14ac:dyDescent="0.3">
      <c r="A7" s="60" t="s">
        <v>12</v>
      </c>
      <c r="B7" s="58" t="s">
        <v>13</v>
      </c>
      <c r="E7" s="14"/>
      <c r="F7" s="15"/>
      <c r="G7" s="15"/>
    </row>
    <row r="8" spans="1:7" x14ac:dyDescent="0.3">
      <c r="A8" s="60"/>
      <c r="B8" s="58"/>
      <c r="E8" s="17"/>
      <c r="F8" s="1"/>
      <c r="G8" s="18"/>
    </row>
    <row r="9" spans="1:7" x14ac:dyDescent="0.3">
      <c r="A9" s="60"/>
      <c r="B9" s="58"/>
      <c r="E9" s="17"/>
      <c r="F9" s="1"/>
      <c r="G9" s="20"/>
    </row>
    <row r="10" spans="1:7" x14ac:dyDescent="0.3">
      <c r="A10" s="60" t="s">
        <v>14</v>
      </c>
      <c r="B10" s="58"/>
    </row>
    <row r="11" spans="1:7" x14ac:dyDescent="0.3">
      <c r="A11" s="57" t="s">
        <v>15</v>
      </c>
      <c r="B11" s="58">
        <v>150</v>
      </c>
      <c r="D11" s="9" t="s">
        <v>16</v>
      </c>
      <c r="E11" s="42" t="s">
        <v>17</v>
      </c>
      <c r="F11" s="9">
        <v>150</v>
      </c>
      <c r="G11" s="32">
        <v>96</v>
      </c>
    </row>
    <row r="12" spans="1:7" x14ac:dyDescent="0.3">
      <c r="A12" s="57" t="s">
        <v>18</v>
      </c>
      <c r="B12" s="58">
        <v>10</v>
      </c>
      <c r="D12" s="9" t="s">
        <v>19</v>
      </c>
      <c r="E12" s="42" t="s">
        <v>20</v>
      </c>
      <c r="F12" s="9">
        <v>10</v>
      </c>
      <c r="G12" s="32">
        <v>899</v>
      </c>
    </row>
    <row r="13" spans="1:7" x14ac:dyDescent="0.3">
      <c r="A13" s="57" t="s">
        <v>21</v>
      </c>
      <c r="B13" s="58">
        <v>9</v>
      </c>
      <c r="D13" s="9" t="s">
        <v>22</v>
      </c>
      <c r="E13" s="42" t="s">
        <v>23</v>
      </c>
      <c r="F13" s="9">
        <v>9</v>
      </c>
      <c r="G13" s="32">
        <v>4</v>
      </c>
    </row>
    <row r="14" spans="1:7" x14ac:dyDescent="0.3">
      <c r="A14" s="57" t="s">
        <v>24</v>
      </c>
      <c r="B14" s="58">
        <v>0.3</v>
      </c>
      <c r="D14" s="9" t="s">
        <v>25</v>
      </c>
      <c r="E14" s="8" t="s">
        <v>26</v>
      </c>
      <c r="F14" s="9">
        <v>0.3</v>
      </c>
      <c r="G14" s="32">
        <v>0</v>
      </c>
    </row>
    <row r="15" spans="1:7" x14ac:dyDescent="0.3">
      <c r="A15" s="60" t="s">
        <v>10</v>
      </c>
      <c r="B15" s="58">
        <v>169.3</v>
      </c>
      <c r="E15" s="10" t="s">
        <v>11</v>
      </c>
      <c r="F15" s="48">
        <f>SUM(F11:F14)</f>
        <v>169.3</v>
      </c>
      <c r="G15" s="48">
        <f>($F11*G11+$F$12*G12+$F13*G13+$F14*G14)/$F15</f>
        <v>138.36975782634377</v>
      </c>
    </row>
    <row r="16" spans="1:7" x14ac:dyDescent="0.3">
      <c r="A16" s="60" t="s">
        <v>12</v>
      </c>
      <c r="B16" s="58" t="s">
        <v>13</v>
      </c>
      <c r="E16" s="14"/>
      <c r="F16" s="15"/>
      <c r="G16" s="16"/>
    </row>
    <row r="17" spans="1:8" x14ac:dyDescent="0.3">
      <c r="A17" s="60"/>
      <c r="B17" s="58"/>
      <c r="E17" s="14"/>
      <c r="F17" s="15"/>
      <c r="G17" s="16"/>
    </row>
    <row r="18" spans="1:8" x14ac:dyDescent="0.3">
      <c r="A18" s="60" t="s">
        <v>27</v>
      </c>
      <c r="B18" s="58"/>
    </row>
    <row r="19" spans="1:8" x14ac:dyDescent="0.3">
      <c r="A19" s="57" t="s">
        <v>28</v>
      </c>
      <c r="B19" s="58">
        <v>100</v>
      </c>
      <c r="D19" s="9" t="s">
        <v>29</v>
      </c>
      <c r="E19" s="42" t="s">
        <v>30</v>
      </c>
      <c r="F19" s="9">
        <v>100</v>
      </c>
      <c r="G19" s="32">
        <v>211</v>
      </c>
    </row>
    <row r="20" spans="1:8" s="51" customFormat="1" x14ac:dyDescent="0.3">
      <c r="A20" s="57" t="s">
        <v>31</v>
      </c>
      <c r="B20" s="58">
        <v>1</v>
      </c>
      <c r="D20" s="52" t="s">
        <v>32</v>
      </c>
      <c r="E20" s="53" t="s">
        <v>33</v>
      </c>
      <c r="F20" s="52">
        <v>1</v>
      </c>
      <c r="G20" s="54">
        <v>366</v>
      </c>
      <c r="H20"/>
    </row>
    <row r="21" spans="1:8" s="51" customFormat="1" x14ac:dyDescent="0.3">
      <c r="A21" s="57" t="s">
        <v>34</v>
      </c>
      <c r="B21" s="58">
        <v>1</v>
      </c>
      <c r="D21" s="52" t="s">
        <v>35</v>
      </c>
      <c r="E21" s="53" t="s">
        <v>36</v>
      </c>
      <c r="F21" s="52">
        <v>1</v>
      </c>
      <c r="G21" s="54">
        <v>341</v>
      </c>
      <c r="H21"/>
    </row>
    <row r="22" spans="1:8" x14ac:dyDescent="0.3">
      <c r="A22" s="57" t="s">
        <v>24</v>
      </c>
      <c r="B22" s="58">
        <v>0.3</v>
      </c>
      <c r="D22" s="9" t="s">
        <v>25</v>
      </c>
      <c r="E22" s="42" t="s">
        <v>26</v>
      </c>
      <c r="F22" s="9">
        <v>0.3</v>
      </c>
      <c r="G22" s="32">
        <v>0</v>
      </c>
    </row>
    <row r="23" spans="1:8" x14ac:dyDescent="0.3">
      <c r="A23" s="60" t="s">
        <v>10</v>
      </c>
      <c r="B23" s="58">
        <v>102.3</v>
      </c>
      <c r="E23" s="10" t="s">
        <v>11</v>
      </c>
      <c r="F23" s="48">
        <f>SUM(F19:F22)</f>
        <v>102.3</v>
      </c>
      <c r="G23" s="50">
        <f>($F19*G19+$F20*G20+$F21*G21+$F22*G22)/$F$23</f>
        <v>213.16715542521996</v>
      </c>
    </row>
    <row r="24" spans="1:8" x14ac:dyDescent="0.3">
      <c r="A24" s="60" t="s">
        <v>12</v>
      </c>
      <c r="B24" s="58" t="s">
        <v>13</v>
      </c>
      <c r="E24" s="14"/>
      <c r="F24" s="15"/>
      <c r="G24" s="16"/>
    </row>
    <row r="25" spans="1:8" x14ac:dyDescent="0.3">
      <c r="A25" s="57"/>
      <c r="B25" s="58"/>
      <c r="E25" s="17"/>
      <c r="F25" s="1"/>
      <c r="G25" s="18"/>
    </row>
    <row r="26" spans="1:8" x14ac:dyDescent="0.3">
      <c r="A26" s="60" t="s">
        <v>37</v>
      </c>
      <c r="B26" s="58"/>
    </row>
    <row r="27" spans="1:8" x14ac:dyDescent="0.3">
      <c r="A27" s="57" t="s">
        <v>38</v>
      </c>
      <c r="B27" s="58">
        <v>100</v>
      </c>
      <c r="D27" s="9" t="s">
        <v>39</v>
      </c>
      <c r="E27" s="42" t="s">
        <v>40</v>
      </c>
      <c r="F27" s="9">
        <v>100</v>
      </c>
      <c r="G27" s="32">
        <v>111</v>
      </c>
    </row>
    <row r="28" spans="1:8" x14ac:dyDescent="0.3">
      <c r="A28" s="57" t="s">
        <v>41</v>
      </c>
      <c r="B28" s="58">
        <v>50</v>
      </c>
      <c r="D28" s="9" t="s">
        <v>42</v>
      </c>
      <c r="E28" s="42" t="s">
        <v>43</v>
      </c>
      <c r="F28" s="9">
        <v>50</v>
      </c>
      <c r="G28" s="32">
        <v>6</v>
      </c>
    </row>
    <row r="29" spans="1:8" x14ac:dyDescent="0.3">
      <c r="A29" s="57" t="s">
        <v>44</v>
      </c>
      <c r="B29" s="58">
        <v>10</v>
      </c>
      <c r="D29" s="9" t="s">
        <v>45</v>
      </c>
      <c r="E29" s="42" t="s">
        <v>46</v>
      </c>
      <c r="F29" s="9">
        <v>10</v>
      </c>
      <c r="G29" s="32">
        <v>899</v>
      </c>
    </row>
    <row r="30" spans="1:8" x14ac:dyDescent="0.3">
      <c r="A30" s="57" t="s">
        <v>47</v>
      </c>
      <c r="B30" s="58">
        <v>3</v>
      </c>
      <c r="D30" s="9" t="s">
        <v>48</v>
      </c>
      <c r="E30" s="42" t="s">
        <v>49</v>
      </c>
      <c r="F30" s="9">
        <v>3</v>
      </c>
      <c r="G30" s="32">
        <v>111</v>
      </c>
    </row>
    <row r="31" spans="1:8" x14ac:dyDescent="0.3">
      <c r="A31" s="60" t="s">
        <v>10</v>
      </c>
      <c r="B31" s="58">
        <v>163</v>
      </c>
      <c r="E31" s="10" t="s">
        <v>11</v>
      </c>
      <c r="F31" s="48">
        <f>SUM(F27:F30)</f>
        <v>163</v>
      </c>
      <c r="G31" s="48">
        <f>($F27*G27+$F$28*G28+$F29*G29+$F30*G30)/$F31</f>
        <v>127.13496932515338</v>
      </c>
    </row>
    <row r="32" spans="1:8" x14ac:dyDescent="0.3">
      <c r="A32" s="60" t="s">
        <v>12</v>
      </c>
      <c r="B32" s="58" t="s">
        <v>13</v>
      </c>
      <c r="E32" s="14"/>
      <c r="F32" s="15"/>
      <c r="G32" s="16"/>
    </row>
    <row r="33" spans="1:7" x14ac:dyDescent="0.3">
      <c r="A33" s="60"/>
      <c r="B33" s="58"/>
      <c r="E33" s="17"/>
      <c r="F33" s="1"/>
      <c r="G33" s="18"/>
    </row>
    <row r="34" spans="1:7" x14ac:dyDescent="0.3">
      <c r="A34" s="60" t="s">
        <v>50</v>
      </c>
      <c r="B34" s="58"/>
    </row>
    <row r="35" spans="1:7" x14ac:dyDescent="0.3">
      <c r="A35" s="57" t="s">
        <v>871</v>
      </c>
      <c r="B35" s="58">
        <v>200</v>
      </c>
      <c r="D35" s="9" t="s">
        <v>51</v>
      </c>
      <c r="E35" s="42" t="s">
        <v>871</v>
      </c>
      <c r="F35" s="9">
        <v>200</v>
      </c>
      <c r="G35" s="32">
        <v>33</v>
      </c>
    </row>
    <row r="36" spans="1:7" x14ac:dyDescent="0.3">
      <c r="A36" s="57" t="s">
        <v>44</v>
      </c>
      <c r="B36" s="58">
        <v>10</v>
      </c>
      <c r="D36" s="9" t="s">
        <v>45</v>
      </c>
      <c r="E36" s="42" t="s">
        <v>46</v>
      </c>
      <c r="F36" s="9">
        <v>10</v>
      </c>
      <c r="G36" s="32">
        <v>899</v>
      </c>
    </row>
    <row r="37" spans="1:7" x14ac:dyDescent="0.3">
      <c r="A37" s="57" t="s">
        <v>24</v>
      </c>
      <c r="B37" s="58">
        <v>0.3</v>
      </c>
      <c r="D37" s="9" t="s">
        <v>25</v>
      </c>
      <c r="E37" s="42" t="s">
        <v>26</v>
      </c>
      <c r="F37" s="9">
        <v>0.3</v>
      </c>
      <c r="G37" s="32">
        <v>0</v>
      </c>
    </row>
    <row r="38" spans="1:7" x14ac:dyDescent="0.3">
      <c r="A38" s="60" t="s">
        <v>10</v>
      </c>
      <c r="B38" s="58">
        <v>210.3</v>
      </c>
      <c r="E38" s="10" t="s">
        <v>11</v>
      </c>
      <c r="F38" s="48">
        <f>SUM(F34:F37)</f>
        <v>210.3</v>
      </c>
      <c r="G38" s="48">
        <f>($F$35*G35+$F36*G36+$F37*G37)/$F38</f>
        <v>74.132192106514495</v>
      </c>
    </row>
    <row r="39" spans="1:7" x14ac:dyDescent="0.3">
      <c r="A39" s="60" t="s">
        <v>12</v>
      </c>
      <c r="B39" s="58" t="s">
        <v>13</v>
      </c>
      <c r="E39" s="14"/>
      <c r="F39" s="15"/>
      <c r="G39" s="16"/>
    </row>
    <row r="40" spans="1:7" x14ac:dyDescent="0.3">
      <c r="A40" s="60"/>
      <c r="B40" s="58"/>
      <c r="E40" s="17"/>
      <c r="F40" s="1"/>
      <c r="G40" s="18"/>
    </row>
    <row r="41" spans="1:7" x14ac:dyDescent="0.3">
      <c r="A41" s="60" t="s">
        <v>52</v>
      </c>
      <c r="B41" s="58"/>
    </row>
    <row r="42" spans="1:7" x14ac:dyDescent="0.3">
      <c r="A42" s="57" t="s">
        <v>53</v>
      </c>
      <c r="B42" s="58">
        <v>150</v>
      </c>
      <c r="D42" s="9" t="s">
        <v>54</v>
      </c>
      <c r="E42" s="42" t="s">
        <v>55</v>
      </c>
      <c r="F42" s="9">
        <v>150</v>
      </c>
      <c r="G42" s="32">
        <v>69</v>
      </c>
    </row>
    <row r="43" spans="1:7" x14ac:dyDescent="0.3">
      <c r="A43" s="57" t="s">
        <v>56</v>
      </c>
      <c r="B43" s="58">
        <v>5</v>
      </c>
      <c r="D43" s="9" t="s">
        <v>57</v>
      </c>
      <c r="E43" s="42" t="s">
        <v>58</v>
      </c>
      <c r="F43" s="9">
        <v>5</v>
      </c>
      <c r="G43" s="32">
        <v>392</v>
      </c>
    </row>
    <row r="44" spans="1:7" x14ac:dyDescent="0.3">
      <c r="A44" s="57" t="s">
        <v>59</v>
      </c>
      <c r="B44" s="58">
        <v>5</v>
      </c>
      <c r="D44" s="9" t="s">
        <v>60</v>
      </c>
      <c r="E44" s="42" t="s">
        <v>61</v>
      </c>
      <c r="F44" s="9">
        <v>5</v>
      </c>
      <c r="G44" s="32">
        <v>6</v>
      </c>
    </row>
    <row r="45" spans="1:7" x14ac:dyDescent="0.3">
      <c r="A45" s="60" t="s">
        <v>10</v>
      </c>
      <c r="B45" s="58">
        <v>160</v>
      </c>
      <c r="E45" s="10" t="s">
        <v>11</v>
      </c>
      <c r="F45" s="48">
        <f>SUM(F41:F44)</f>
        <v>160</v>
      </c>
      <c r="G45" s="48">
        <f>($F$42*G42+$F43*G43+$F44*G44)/$F45</f>
        <v>77.125</v>
      </c>
    </row>
    <row r="46" spans="1:7" x14ac:dyDescent="0.3">
      <c r="A46" s="60" t="s">
        <v>12</v>
      </c>
      <c r="B46" s="58" t="s">
        <v>13</v>
      </c>
      <c r="E46" s="14"/>
      <c r="F46" s="15"/>
      <c r="G46" s="16"/>
    </row>
    <row r="47" spans="1:7" x14ac:dyDescent="0.3">
      <c r="A47" s="60"/>
      <c r="B47" s="58"/>
      <c r="E47" s="17"/>
      <c r="F47" s="1"/>
      <c r="G47" s="18"/>
    </row>
    <row r="48" spans="1:7" x14ac:dyDescent="0.3">
      <c r="A48" s="60" t="s">
        <v>62</v>
      </c>
      <c r="B48" s="58"/>
    </row>
    <row r="49" spans="1:7" x14ac:dyDescent="0.3">
      <c r="A49" s="57" t="s">
        <v>63</v>
      </c>
      <c r="B49" s="58">
        <v>8</v>
      </c>
      <c r="D49" s="9" t="s">
        <v>64</v>
      </c>
      <c r="E49" s="42" t="s">
        <v>65</v>
      </c>
      <c r="F49" s="9">
        <v>8</v>
      </c>
      <c r="G49" s="32">
        <v>758</v>
      </c>
    </row>
    <row r="50" spans="1:7" x14ac:dyDescent="0.3">
      <c r="A50" s="57" t="s">
        <v>66</v>
      </c>
      <c r="B50" s="58">
        <v>8</v>
      </c>
      <c r="D50" s="9" t="s">
        <v>67</v>
      </c>
      <c r="E50" s="42" t="s">
        <v>68</v>
      </c>
      <c r="F50" s="9">
        <v>8</v>
      </c>
      <c r="G50" s="32">
        <v>348</v>
      </c>
    </row>
    <row r="51" spans="1:7" x14ac:dyDescent="0.3">
      <c r="A51" s="57" t="s">
        <v>69</v>
      </c>
      <c r="B51" s="58">
        <v>85</v>
      </c>
      <c r="D51" s="9" t="s">
        <v>70</v>
      </c>
      <c r="E51" s="42" t="s">
        <v>850</v>
      </c>
      <c r="F51" s="9">
        <v>85</v>
      </c>
      <c r="G51" s="32">
        <v>64</v>
      </c>
    </row>
    <row r="52" spans="1:7" x14ac:dyDescent="0.3">
      <c r="A52" s="57" t="s">
        <v>24</v>
      </c>
      <c r="B52" s="58">
        <v>0.3</v>
      </c>
      <c r="D52" s="9" t="s">
        <v>25</v>
      </c>
      <c r="E52" s="42" t="s">
        <v>26</v>
      </c>
      <c r="F52" s="9">
        <v>0.3</v>
      </c>
      <c r="G52" s="32">
        <v>0</v>
      </c>
    </row>
    <row r="53" spans="1:7" x14ac:dyDescent="0.3">
      <c r="A53" s="57" t="s">
        <v>71</v>
      </c>
      <c r="B53" s="58">
        <v>0.1</v>
      </c>
      <c r="D53" s="9" t="s">
        <v>72</v>
      </c>
      <c r="E53" s="42" t="s">
        <v>73</v>
      </c>
      <c r="F53" s="9">
        <v>0.1</v>
      </c>
      <c r="G53" s="32">
        <v>270</v>
      </c>
    </row>
    <row r="54" spans="1:7" x14ac:dyDescent="0.3">
      <c r="A54" s="57" t="s">
        <v>74</v>
      </c>
      <c r="B54" s="58">
        <v>0.4</v>
      </c>
      <c r="D54" s="9" t="s">
        <v>75</v>
      </c>
      <c r="E54" s="42" t="s">
        <v>76</v>
      </c>
      <c r="F54" s="9">
        <v>0.4</v>
      </c>
      <c r="G54" s="32">
        <v>442</v>
      </c>
    </row>
    <row r="55" spans="1:7" x14ac:dyDescent="0.3">
      <c r="A55" s="60" t="s">
        <v>10</v>
      </c>
      <c r="B55" s="58">
        <v>101.8</v>
      </c>
      <c r="E55" s="10" t="s">
        <v>11</v>
      </c>
      <c r="F55" s="48">
        <f>SUM(F49:F54)</f>
        <v>101.8</v>
      </c>
      <c r="G55" s="48">
        <f>($F$49*G49+$F$50*G50+$F$51*G51+$F$52*G52+$F$53*G53+$F$54*G54)/$F55</f>
        <v>142.35559921414537</v>
      </c>
    </row>
    <row r="56" spans="1:7" x14ac:dyDescent="0.3">
      <c r="A56" s="60" t="s">
        <v>12</v>
      </c>
      <c r="B56" s="58" t="s">
        <v>13</v>
      </c>
      <c r="E56" s="14"/>
      <c r="F56" s="15"/>
      <c r="G56" s="16"/>
    </row>
    <row r="57" spans="1:7" x14ac:dyDescent="0.3">
      <c r="A57" s="60"/>
      <c r="B57" s="58"/>
      <c r="E57" s="17"/>
      <c r="F57" s="1"/>
      <c r="G57" s="18"/>
    </row>
    <row r="58" spans="1:7" x14ac:dyDescent="0.3">
      <c r="A58" s="60" t="s">
        <v>77</v>
      </c>
      <c r="B58" s="58"/>
    </row>
    <row r="59" spans="1:7" x14ac:dyDescent="0.3">
      <c r="A59" s="57" t="s">
        <v>66</v>
      </c>
      <c r="B59" s="58">
        <v>7</v>
      </c>
      <c r="D59" s="9" t="s">
        <v>67</v>
      </c>
      <c r="E59" s="42" t="s">
        <v>68</v>
      </c>
      <c r="F59" s="9">
        <v>7</v>
      </c>
      <c r="G59" s="32">
        <v>323</v>
      </c>
    </row>
    <row r="60" spans="1:7" x14ac:dyDescent="0.3">
      <c r="A60" s="57" t="s">
        <v>63</v>
      </c>
      <c r="B60" s="58">
        <v>3.5</v>
      </c>
      <c r="D60" s="9" t="s">
        <v>64</v>
      </c>
      <c r="E60" s="42" t="s">
        <v>65</v>
      </c>
      <c r="F60" s="9">
        <v>3.5</v>
      </c>
      <c r="G60" s="32">
        <v>758</v>
      </c>
    </row>
    <row r="61" spans="1:7" x14ac:dyDescent="0.3">
      <c r="A61" s="57" t="s">
        <v>56</v>
      </c>
      <c r="B61" s="58">
        <v>3</v>
      </c>
      <c r="D61" s="9" t="s">
        <v>57</v>
      </c>
      <c r="E61" s="42" t="s">
        <v>58</v>
      </c>
      <c r="F61" s="9">
        <v>3</v>
      </c>
      <c r="G61" s="32">
        <v>392</v>
      </c>
    </row>
    <row r="62" spans="1:7" x14ac:dyDescent="0.3">
      <c r="A62" s="57" t="s">
        <v>78</v>
      </c>
      <c r="B62" s="58">
        <v>3</v>
      </c>
      <c r="D62" s="9" t="s">
        <v>79</v>
      </c>
      <c r="E62" s="42" t="s">
        <v>80</v>
      </c>
      <c r="F62" s="9">
        <v>3</v>
      </c>
      <c r="G62" s="32">
        <v>325</v>
      </c>
    </row>
    <row r="63" spans="1:7" x14ac:dyDescent="0.3">
      <c r="A63" s="57" t="s">
        <v>24</v>
      </c>
      <c r="B63" s="58">
        <v>0.01</v>
      </c>
      <c r="D63" s="9" t="s">
        <v>25</v>
      </c>
      <c r="E63" s="42" t="s">
        <v>26</v>
      </c>
      <c r="F63" s="9">
        <v>0.01</v>
      </c>
      <c r="G63" s="32">
        <v>0</v>
      </c>
    </row>
    <row r="64" spans="1:7" x14ac:dyDescent="0.3">
      <c r="A64" s="60" t="s">
        <v>10</v>
      </c>
      <c r="B64" s="58">
        <v>16.510000000000002</v>
      </c>
      <c r="E64" s="10" t="s">
        <v>11</v>
      </c>
      <c r="F64" s="48">
        <f>SUM(F59:F63)</f>
        <v>16.510000000000002</v>
      </c>
      <c r="G64" s="48">
        <f>($F$59*G59+$F$60*G60+$F$61*G61+$F$62*G62+$F$63*G63)/$F64</f>
        <v>427.9224712295578</v>
      </c>
    </row>
    <row r="65" spans="1:7" x14ac:dyDescent="0.3">
      <c r="A65" s="60" t="s">
        <v>12</v>
      </c>
      <c r="B65" s="58" t="s">
        <v>13</v>
      </c>
      <c r="E65" s="14"/>
      <c r="F65" s="15"/>
      <c r="G65" s="16"/>
    </row>
    <row r="66" spans="1:7" x14ac:dyDescent="0.3">
      <c r="A66" s="60"/>
      <c r="B66" s="58"/>
      <c r="E66" s="17"/>
      <c r="F66" s="1"/>
      <c r="G66" s="18"/>
    </row>
    <row r="67" spans="1:7" x14ac:dyDescent="0.3">
      <c r="A67" s="60" t="s">
        <v>81</v>
      </c>
      <c r="B67" s="58"/>
    </row>
    <row r="68" spans="1:7" x14ac:dyDescent="0.3">
      <c r="A68" s="57" t="s">
        <v>82</v>
      </c>
      <c r="B68" s="58">
        <v>100</v>
      </c>
      <c r="D68" s="9" t="s">
        <v>83</v>
      </c>
      <c r="E68" s="42" t="s">
        <v>84</v>
      </c>
      <c r="F68" s="9">
        <v>100</v>
      </c>
      <c r="G68" s="32">
        <v>108</v>
      </c>
    </row>
    <row r="69" spans="1:7" x14ac:dyDescent="0.3">
      <c r="A69" s="57" t="s">
        <v>85</v>
      </c>
      <c r="B69" s="58">
        <v>80</v>
      </c>
      <c r="D69" s="9" t="s">
        <v>86</v>
      </c>
      <c r="E69" s="42" t="s">
        <v>87</v>
      </c>
      <c r="F69" s="9">
        <v>80</v>
      </c>
      <c r="G69" s="32">
        <v>22</v>
      </c>
    </row>
    <row r="70" spans="1:7" x14ac:dyDescent="0.3">
      <c r="A70" s="57" t="s">
        <v>44</v>
      </c>
      <c r="B70" s="58">
        <v>10</v>
      </c>
      <c r="D70" s="9" t="s">
        <v>45</v>
      </c>
      <c r="E70" s="42" t="s">
        <v>46</v>
      </c>
      <c r="F70" s="9">
        <v>10</v>
      </c>
      <c r="G70" s="32">
        <v>899</v>
      </c>
    </row>
    <row r="71" spans="1:7" x14ac:dyDescent="0.3">
      <c r="A71" s="57" t="s">
        <v>88</v>
      </c>
      <c r="B71" s="58">
        <v>1</v>
      </c>
      <c r="D71" s="9" t="s">
        <v>89</v>
      </c>
      <c r="E71" s="42" t="s">
        <v>90</v>
      </c>
      <c r="F71" s="9">
        <v>1</v>
      </c>
      <c r="G71" s="32">
        <v>45</v>
      </c>
    </row>
    <row r="72" spans="1:7" x14ac:dyDescent="0.3">
      <c r="A72" s="57" t="s">
        <v>91</v>
      </c>
      <c r="B72" s="58">
        <v>0.1</v>
      </c>
      <c r="D72" s="9" t="s">
        <v>92</v>
      </c>
      <c r="E72" s="42" t="s">
        <v>93</v>
      </c>
      <c r="F72" s="9">
        <v>0.1</v>
      </c>
      <c r="G72" s="32">
        <v>408</v>
      </c>
    </row>
    <row r="73" spans="1:7" x14ac:dyDescent="0.3">
      <c r="A73" s="57" t="s">
        <v>24</v>
      </c>
      <c r="B73" s="58">
        <v>0.3</v>
      </c>
      <c r="D73" s="9" t="s">
        <v>25</v>
      </c>
      <c r="E73" s="42" t="s">
        <v>26</v>
      </c>
      <c r="F73" s="9">
        <v>0.3</v>
      </c>
      <c r="G73" s="32">
        <v>0</v>
      </c>
    </row>
    <row r="74" spans="1:7" x14ac:dyDescent="0.3">
      <c r="A74" s="57" t="s">
        <v>71</v>
      </c>
      <c r="B74" s="58">
        <v>0.1</v>
      </c>
      <c r="D74" s="9" t="s">
        <v>72</v>
      </c>
      <c r="E74" s="42" t="s">
        <v>73</v>
      </c>
      <c r="F74" s="9">
        <v>0.1</v>
      </c>
      <c r="G74" s="32">
        <v>270</v>
      </c>
    </row>
    <row r="75" spans="1:7" x14ac:dyDescent="0.3">
      <c r="A75" s="60" t="s">
        <v>10</v>
      </c>
      <c r="B75" s="58">
        <v>191.5</v>
      </c>
      <c r="E75" s="10" t="s">
        <v>11</v>
      </c>
      <c r="F75" s="48">
        <f>SUM(F68:F74)</f>
        <v>191.5</v>
      </c>
      <c r="G75" s="48">
        <f>($F$68*G68+$F$69*G69+$F$70*G70+$F$71*G71+$F$72*G72+$F$73*G73+$F$74*G74)/$F75</f>
        <v>113.12167101827676</v>
      </c>
    </row>
    <row r="76" spans="1:7" x14ac:dyDescent="0.3">
      <c r="A76" s="60" t="s">
        <v>12</v>
      </c>
      <c r="B76" s="58" t="s">
        <v>13</v>
      </c>
      <c r="E76" s="14"/>
      <c r="F76" s="15"/>
      <c r="G76" s="16"/>
    </row>
    <row r="77" spans="1:7" x14ac:dyDescent="0.3">
      <c r="A77" s="60"/>
      <c r="B77" s="58"/>
      <c r="E77" s="17"/>
      <c r="F77" s="1"/>
      <c r="G77" s="18"/>
    </row>
    <row r="78" spans="1:7" x14ac:dyDescent="0.3">
      <c r="A78" s="60" t="s">
        <v>94</v>
      </c>
      <c r="B78" s="58"/>
    </row>
    <row r="79" spans="1:7" x14ac:dyDescent="0.3">
      <c r="A79" s="57" t="s">
        <v>95</v>
      </c>
      <c r="B79" s="58">
        <v>100</v>
      </c>
      <c r="D79" s="9" t="s">
        <v>96</v>
      </c>
      <c r="E79" s="42" t="s">
        <v>97</v>
      </c>
      <c r="F79" s="9">
        <v>100</v>
      </c>
      <c r="G79" s="32">
        <v>145</v>
      </c>
    </row>
    <row r="80" spans="1:7" x14ac:dyDescent="0.3">
      <c r="A80" s="57" t="s">
        <v>44</v>
      </c>
      <c r="B80" s="58">
        <v>10</v>
      </c>
      <c r="D80" s="9" t="s">
        <v>45</v>
      </c>
      <c r="E80" s="42" t="s">
        <v>46</v>
      </c>
      <c r="F80" s="9">
        <v>10</v>
      </c>
      <c r="G80" s="32">
        <v>899</v>
      </c>
    </row>
    <row r="81" spans="1:7" x14ac:dyDescent="0.3">
      <c r="A81" s="57" t="s">
        <v>24</v>
      </c>
      <c r="B81" s="58">
        <v>0.3</v>
      </c>
      <c r="D81" s="9" t="s">
        <v>25</v>
      </c>
      <c r="E81" s="42" t="s">
        <v>26</v>
      </c>
      <c r="F81" s="9">
        <v>0.3</v>
      </c>
      <c r="G81" s="32">
        <v>0</v>
      </c>
    </row>
    <row r="82" spans="1:7" x14ac:dyDescent="0.3">
      <c r="A82" s="57" t="s">
        <v>98</v>
      </c>
      <c r="B82" s="58">
        <v>2</v>
      </c>
      <c r="D82" s="9" t="s">
        <v>99</v>
      </c>
      <c r="E82" s="42" t="s">
        <v>100</v>
      </c>
      <c r="F82" s="9">
        <v>2</v>
      </c>
      <c r="G82" s="32">
        <v>88</v>
      </c>
    </row>
    <row r="83" spans="1:7" x14ac:dyDescent="0.3">
      <c r="A83" s="57" t="s">
        <v>71</v>
      </c>
      <c r="B83" s="58">
        <v>0.1</v>
      </c>
      <c r="D83" s="9" t="s">
        <v>72</v>
      </c>
      <c r="E83" s="42" t="s">
        <v>73</v>
      </c>
      <c r="F83" s="9">
        <v>0.1</v>
      </c>
      <c r="G83" s="32">
        <v>270</v>
      </c>
    </row>
    <row r="84" spans="1:7" x14ac:dyDescent="0.3">
      <c r="A84" s="60" t="s">
        <v>10</v>
      </c>
      <c r="B84" s="58">
        <v>112.4</v>
      </c>
      <c r="E84" s="10" t="s">
        <v>11</v>
      </c>
      <c r="F84" s="48">
        <f>SUM(F79:F83)</f>
        <v>112.39999999999999</v>
      </c>
      <c r="G84" s="48">
        <f>($F$79*G79+$F$80*G80+$F$81*G81+$F$82*G82+$F$83*G83)/$F84</f>
        <v>210.79181494661924</v>
      </c>
    </row>
    <row r="85" spans="1:7" x14ac:dyDescent="0.3">
      <c r="A85" s="60" t="s">
        <v>12</v>
      </c>
      <c r="B85" s="58" t="s">
        <v>13</v>
      </c>
      <c r="E85" s="14"/>
      <c r="F85" s="15"/>
      <c r="G85" s="16"/>
    </row>
    <row r="86" spans="1:7" x14ac:dyDescent="0.3">
      <c r="A86" s="60"/>
      <c r="B86" s="58"/>
      <c r="E86" s="17"/>
      <c r="F86" s="1"/>
      <c r="G86" s="18"/>
    </row>
    <row r="87" spans="1:7" x14ac:dyDescent="0.3">
      <c r="A87" s="60" t="s">
        <v>101</v>
      </c>
      <c r="B87" s="58"/>
    </row>
    <row r="88" spans="1:7" x14ac:dyDescent="0.3">
      <c r="A88" s="57" t="s">
        <v>82</v>
      </c>
      <c r="B88" s="58">
        <v>100</v>
      </c>
      <c r="D88" s="9" t="s">
        <v>83</v>
      </c>
      <c r="E88" s="42" t="s">
        <v>84</v>
      </c>
      <c r="F88" s="9">
        <v>100</v>
      </c>
      <c r="G88" s="32">
        <v>108</v>
      </c>
    </row>
    <row r="89" spans="1:7" x14ac:dyDescent="0.3">
      <c r="A89" s="57" t="s">
        <v>44</v>
      </c>
      <c r="B89" s="58">
        <v>10</v>
      </c>
      <c r="D89" s="9" t="s">
        <v>45</v>
      </c>
      <c r="E89" s="42" t="s">
        <v>46</v>
      </c>
      <c r="F89" s="9">
        <v>10</v>
      </c>
      <c r="G89" s="32">
        <v>899</v>
      </c>
    </row>
    <row r="90" spans="1:7" x14ac:dyDescent="0.3">
      <c r="A90" s="57" t="s">
        <v>24</v>
      </c>
      <c r="B90" s="58">
        <v>0.3</v>
      </c>
      <c r="D90" s="9" t="s">
        <v>25</v>
      </c>
      <c r="E90" s="42" t="s">
        <v>26</v>
      </c>
      <c r="F90" s="9">
        <v>0.3</v>
      </c>
      <c r="G90" s="32">
        <v>0</v>
      </c>
    </row>
    <row r="91" spans="1:7" x14ac:dyDescent="0.3">
      <c r="A91" s="57" t="s">
        <v>98</v>
      </c>
      <c r="B91" s="58">
        <v>2</v>
      </c>
      <c r="D91" s="9" t="s">
        <v>99</v>
      </c>
      <c r="E91" s="42" t="s">
        <v>100</v>
      </c>
      <c r="F91" s="9">
        <v>2</v>
      </c>
      <c r="G91" s="32">
        <v>88</v>
      </c>
    </row>
    <row r="92" spans="1:7" x14ac:dyDescent="0.3">
      <c r="A92" s="57" t="s">
        <v>71</v>
      </c>
      <c r="B92" s="58">
        <v>0.1</v>
      </c>
      <c r="D92" s="9" t="s">
        <v>72</v>
      </c>
      <c r="E92" s="42" t="s">
        <v>73</v>
      </c>
      <c r="F92" s="9">
        <v>0.1</v>
      </c>
      <c r="G92" s="32">
        <v>270</v>
      </c>
    </row>
    <row r="93" spans="1:7" x14ac:dyDescent="0.3">
      <c r="A93" s="60" t="s">
        <v>10</v>
      </c>
      <c r="B93" s="58">
        <v>112.4</v>
      </c>
      <c r="E93" s="10" t="s">
        <v>11</v>
      </c>
      <c r="F93" s="48">
        <f>SUM(F88:F92)</f>
        <v>112.39999999999999</v>
      </c>
      <c r="G93" s="48">
        <f>($F$88*G88+$F$89*G89+$F$90*G90+$F$91*G91+$F$92*G92)/$F93</f>
        <v>177.87366548042706</v>
      </c>
    </row>
    <row r="94" spans="1:7" x14ac:dyDescent="0.3">
      <c r="A94" s="60" t="s">
        <v>12</v>
      </c>
      <c r="B94" s="58" t="s">
        <v>13</v>
      </c>
      <c r="E94" s="14" t="s">
        <v>102</v>
      </c>
      <c r="F94" s="15"/>
      <c r="G94" s="16">
        <v>177.87</v>
      </c>
    </row>
    <row r="95" spans="1:7" x14ac:dyDescent="0.3">
      <c r="A95" s="60"/>
      <c r="B95" s="58"/>
      <c r="E95" s="17"/>
      <c r="F95" s="1"/>
      <c r="G95" s="18"/>
    </row>
    <row r="96" spans="1:7" x14ac:dyDescent="0.3">
      <c r="A96" s="3" t="s">
        <v>103</v>
      </c>
    </row>
    <row r="97" spans="1:7" x14ac:dyDescent="0.3">
      <c r="A97" t="s">
        <v>104</v>
      </c>
      <c r="B97" s="1">
        <v>100</v>
      </c>
      <c r="D97" s="9" t="s">
        <v>83</v>
      </c>
      <c r="E97" s="42" t="s">
        <v>84</v>
      </c>
      <c r="F97" s="9">
        <v>100</v>
      </c>
      <c r="G97" s="32">
        <v>108</v>
      </c>
    </row>
    <row r="98" spans="1:7" x14ac:dyDescent="0.3">
      <c r="A98" t="s">
        <v>105</v>
      </c>
      <c r="B98" s="1">
        <v>2</v>
      </c>
      <c r="D98" s="9" t="s">
        <v>106</v>
      </c>
      <c r="E98" s="42" t="s">
        <v>107</v>
      </c>
      <c r="F98" s="9">
        <v>2</v>
      </c>
      <c r="G98" s="32">
        <v>30</v>
      </c>
    </row>
    <row r="99" spans="1:7" x14ac:dyDescent="0.3">
      <c r="A99" t="s">
        <v>44</v>
      </c>
      <c r="B99" s="1">
        <v>10</v>
      </c>
      <c r="D99" s="9" t="s">
        <v>45</v>
      </c>
      <c r="E99" s="42" t="s">
        <v>46</v>
      </c>
      <c r="F99" s="9">
        <v>10</v>
      </c>
      <c r="G99" s="32">
        <v>899</v>
      </c>
    </row>
    <row r="100" spans="1:7" x14ac:dyDescent="0.3">
      <c r="A100" s="3" t="s">
        <v>10</v>
      </c>
      <c r="B100" s="1">
        <v>112</v>
      </c>
      <c r="E100" s="10" t="s">
        <v>11</v>
      </c>
      <c r="F100" s="48">
        <f>SUM(F96:F99)</f>
        <v>112</v>
      </c>
      <c r="G100" s="48">
        <f>($F$97*G97+$F$98*G98+$F$99*G99)/$F100</f>
        <v>177.23214285714286</v>
      </c>
    </row>
    <row r="101" spans="1:7" x14ac:dyDescent="0.3">
      <c r="A101" s="3" t="s">
        <v>12</v>
      </c>
      <c r="B101" s="1" t="s">
        <v>13</v>
      </c>
      <c r="E101" s="14"/>
      <c r="F101" s="15"/>
      <c r="G101" s="16"/>
    </row>
    <row r="102" spans="1:7" x14ac:dyDescent="0.3">
      <c r="A102" s="3"/>
      <c r="E102" s="17"/>
      <c r="F102" s="1"/>
      <c r="G102" s="18"/>
    </row>
    <row r="103" spans="1:7" x14ac:dyDescent="0.3">
      <c r="A103" s="3" t="s">
        <v>108</v>
      </c>
      <c r="F103" s="17"/>
    </row>
    <row r="104" spans="1:7" x14ac:dyDescent="0.3">
      <c r="A104" t="s">
        <v>104</v>
      </c>
      <c r="B104" s="1">
        <v>30</v>
      </c>
      <c r="D104" s="9" t="s">
        <v>83</v>
      </c>
      <c r="E104" s="42" t="s">
        <v>84</v>
      </c>
      <c r="F104" s="9">
        <v>30</v>
      </c>
      <c r="G104" s="32">
        <v>108</v>
      </c>
    </row>
    <row r="105" spans="1:7" x14ac:dyDescent="0.3">
      <c r="A105" t="s">
        <v>109</v>
      </c>
      <c r="B105" s="1">
        <v>30</v>
      </c>
      <c r="D105" s="9" t="s">
        <v>110</v>
      </c>
      <c r="E105" s="8" t="s">
        <v>111</v>
      </c>
      <c r="F105" s="8">
        <v>30</v>
      </c>
      <c r="G105" s="32">
        <v>171</v>
      </c>
    </row>
    <row r="106" spans="1:7" x14ac:dyDescent="0.3">
      <c r="A106" t="s">
        <v>112</v>
      </c>
      <c r="B106" s="1">
        <v>20</v>
      </c>
      <c r="D106" s="9" t="s">
        <v>113</v>
      </c>
      <c r="E106" s="42" t="s">
        <v>114</v>
      </c>
      <c r="F106" s="9">
        <v>20</v>
      </c>
      <c r="G106" s="32">
        <v>232</v>
      </c>
    </row>
    <row r="107" spans="1:7" x14ac:dyDescent="0.3">
      <c r="A107" t="s">
        <v>115</v>
      </c>
      <c r="B107" s="1">
        <v>20</v>
      </c>
      <c r="D107" s="9" t="s">
        <v>116</v>
      </c>
      <c r="E107" s="42" t="s">
        <v>117</v>
      </c>
      <c r="F107" s="9">
        <v>20</v>
      </c>
      <c r="G107" s="32">
        <v>194</v>
      </c>
    </row>
    <row r="108" spans="1:7" x14ac:dyDescent="0.3">
      <c r="A108" t="s">
        <v>24</v>
      </c>
      <c r="B108" s="1">
        <v>0.3</v>
      </c>
      <c r="D108" s="9" t="s">
        <v>25</v>
      </c>
      <c r="E108" s="42" t="s">
        <v>26</v>
      </c>
      <c r="F108" s="9">
        <v>0.3</v>
      </c>
      <c r="G108" s="32">
        <v>0</v>
      </c>
    </row>
    <row r="109" spans="1:7" x14ac:dyDescent="0.3">
      <c r="A109" s="3" t="s">
        <v>10</v>
      </c>
      <c r="B109" s="1">
        <v>100.3</v>
      </c>
      <c r="E109" s="10" t="s">
        <v>11</v>
      </c>
      <c r="F109" s="55">
        <f>SUM(F104:F108)</f>
        <v>100.3</v>
      </c>
      <c r="G109" s="50">
        <f>($F104*G104+$F105*G105+$F106*G106+$F107*G107+$F108*G108)/$F109</f>
        <v>168.39481555333998</v>
      </c>
    </row>
    <row r="110" spans="1:7" x14ac:dyDescent="0.3">
      <c r="A110" s="3" t="s">
        <v>12</v>
      </c>
      <c r="B110" s="1" t="s">
        <v>13</v>
      </c>
      <c r="E110" s="14"/>
      <c r="F110" s="15"/>
      <c r="G110" s="16"/>
    </row>
    <row r="111" spans="1:7" x14ac:dyDescent="0.3">
      <c r="E111" s="17"/>
      <c r="F111" s="1"/>
      <c r="G111" s="18"/>
    </row>
    <row r="112" spans="1:7" x14ac:dyDescent="0.3">
      <c r="E112" s="17"/>
      <c r="F112" s="1"/>
      <c r="G112" s="20"/>
    </row>
    <row r="113" spans="1:7" x14ac:dyDescent="0.3">
      <c r="A113" s="3" t="s">
        <v>118</v>
      </c>
    </row>
    <row r="114" spans="1:7" x14ac:dyDescent="0.3">
      <c r="A114" t="s">
        <v>119</v>
      </c>
      <c r="B114" s="1">
        <v>100</v>
      </c>
      <c r="D114" s="9" t="s">
        <v>120</v>
      </c>
      <c r="E114" s="42" t="s">
        <v>121</v>
      </c>
      <c r="F114" s="9">
        <v>100</v>
      </c>
      <c r="G114" s="32">
        <v>106</v>
      </c>
    </row>
    <row r="115" spans="1:7" x14ac:dyDescent="0.3">
      <c r="A115" t="s">
        <v>24</v>
      </c>
      <c r="B115" s="1">
        <v>0.3</v>
      </c>
      <c r="D115" s="9" t="s">
        <v>25</v>
      </c>
      <c r="E115" s="42" t="s">
        <v>26</v>
      </c>
      <c r="F115" s="9">
        <v>0.3</v>
      </c>
      <c r="G115" s="32">
        <v>0</v>
      </c>
    </row>
    <row r="116" spans="1:7" x14ac:dyDescent="0.3">
      <c r="A116" s="3" t="s">
        <v>10</v>
      </c>
      <c r="B116" s="1">
        <v>100.3</v>
      </c>
      <c r="E116" s="10" t="s">
        <v>11</v>
      </c>
      <c r="F116" s="48">
        <f>SUM(F110:F115)</f>
        <v>100.3</v>
      </c>
      <c r="G116" s="48">
        <f>($F$114*G114+$F$115*G115)/$F116</f>
        <v>105.68295114656033</v>
      </c>
    </row>
    <row r="117" spans="1:7" x14ac:dyDescent="0.3">
      <c r="A117" s="3" t="s">
        <v>12</v>
      </c>
      <c r="B117" s="1" t="s">
        <v>13</v>
      </c>
      <c r="E117" s="14"/>
      <c r="F117" s="15"/>
      <c r="G117" s="16"/>
    </row>
    <row r="118" spans="1:7" x14ac:dyDescent="0.3">
      <c r="A118" s="3"/>
      <c r="E118" s="17"/>
      <c r="F118" s="1"/>
      <c r="G118" s="18"/>
    </row>
    <row r="119" spans="1:7" x14ac:dyDescent="0.3">
      <c r="A119" s="3" t="s">
        <v>122</v>
      </c>
    </row>
    <row r="120" spans="1:7" x14ac:dyDescent="0.3">
      <c r="A120" t="s">
        <v>82</v>
      </c>
      <c r="B120" s="1">
        <v>100</v>
      </c>
      <c r="D120" s="9" t="s">
        <v>83</v>
      </c>
      <c r="E120" s="42" t="s">
        <v>84</v>
      </c>
      <c r="F120" s="9">
        <v>100</v>
      </c>
      <c r="G120" s="32">
        <v>108</v>
      </c>
    </row>
    <row r="121" spans="1:7" x14ac:dyDescent="0.3">
      <c r="A121" t="s">
        <v>123</v>
      </c>
      <c r="B121" s="1">
        <v>20</v>
      </c>
      <c r="D121" s="9" t="s">
        <v>124</v>
      </c>
      <c r="E121" s="42" t="s">
        <v>125</v>
      </c>
      <c r="F121" s="9">
        <v>20</v>
      </c>
      <c r="G121" s="32">
        <v>39</v>
      </c>
    </row>
    <row r="122" spans="1:7" x14ac:dyDescent="0.3">
      <c r="A122" t="s">
        <v>126</v>
      </c>
      <c r="B122" s="1">
        <v>25</v>
      </c>
      <c r="D122" s="9" t="s">
        <v>127</v>
      </c>
      <c r="E122" s="42" t="s">
        <v>128</v>
      </c>
      <c r="F122" s="9">
        <v>25</v>
      </c>
      <c r="G122" s="32">
        <v>28</v>
      </c>
    </row>
    <row r="123" spans="1:7" x14ac:dyDescent="0.3">
      <c r="A123" t="s">
        <v>129</v>
      </c>
      <c r="B123" s="1">
        <v>5</v>
      </c>
      <c r="D123" s="9" t="s">
        <v>130</v>
      </c>
      <c r="E123" s="42" t="s">
        <v>131</v>
      </c>
      <c r="F123" s="9">
        <v>5</v>
      </c>
      <c r="G123" s="32">
        <v>23</v>
      </c>
    </row>
    <row r="124" spans="1:7" x14ac:dyDescent="0.3">
      <c r="A124" t="s">
        <v>63</v>
      </c>
      <c r="B124" s="1">
        <v>5</v>
      </c>
      <c r="D124" s="9" t="s">
        <v>64</v>
      </c>
      <c r="E124" s="42" t="s">
        <v>65</v>
      </c>
      <c r="F124" s="9">
        <v>5</v>
      </c>
      <c r="G124" s="32">
        <v>758</v>
      </c>
    </row>
    <row r="125" spans="1:7" x14ac:dyDescent="0.3">
      <c r="A125" t="s">
        <v>34</v>
      </c>
      <c r="B125" s="1">
        <v>0.5</v>
      </c>
      <c r="D125" s="9" t="s">
        <v>35</v>
      </c>
      <c r="E125" s="42" t="s">
        <v>36</v>
      </c>
      <c r="F125" s="9">
        <v>0.5</v>
      </c>
      <c r="G125" s="32">
        <v>341</v>
      </c>
    </row>
    <row r="126" spans="1:7" x14ac:dyDescent="0.3">
      <c r="A126" t="s">
        <v>132</v>
      </c>
      <c r="B126" s="1">
        <v>0.1</v>
      </c>
      <c r="D126" s="9" t="s">
        <v>133</v>
      </c>
      <c r="E126" s="42" t="s">
        <v>134</v>
      </c>
      <c r="F126" s="9">
        <v>0.1</v>
      </c>
      <c r="G126" s="32">
        <v>301</v>
      </c>
    </row>
    <row r="127" spans="1:7" x14ac:dyDescent="0.3">
      <c r="A127" t="s">
        <v>88</v>
      </c>
      <c r="B127" s="1">
        <v>5</v>
      </c>
      <c r="D127" s="9" t="s">
        <v>89</v>
      </c>
      <c r="E127" s="42" t="s">
        <v>90</v>
      </c>
      <c r="F127" s="9">
        <v>5</v>
      </c>
      <c r="G127" s="32">
        <v>45</v>
      </c>
    </row>
    <row r="128" spans="1:7" x14ac:dyDescent="0.3">
      <c r="A128" t="s">
        <v>71</v>
      </c>
      <c r="B128" s="1">
        <v>0.1</v>
      </c>
      <c r="D128" s="9" t="s">
        <v>72</v>
      </c>
      <c r="E128" s="42" t="s">
        <v>73</v>
      </c>
      <c r="F128" s="9">
        <v>0.1</v>
      </c>
      <c r="G128" s="32">
        <v>270</v>
      </c>
    </row>
    <row r="129" spans="1:7" x14ac:dyDescent="0.3">
      <c r="A129" t="s">
        <v>47</v>
      </c>
      <c r="B129" s="1">
        <v>0.5</v>
      </c>
      <c r="D129" s="9" t="s">
        <v>48</v>
      </c>
      <c r="E129" s="42" t="s">
        <v>49</v>
      </c>
      <c r="F129" s="9">
        <v>0.5</v>
      </c>
      <c r="G129" s="32">
        <v>111</v>
      </c>
    </row>
    <row r="130" spans="1:7" x14ac:dyDescent="0.3">
      <c r="A130" t="s">
        <v>24</v>
      </c>
      <c r="B130" s="1">
        <v>0.3</v>
      </c>
      <c r="D130" s="9" t="s">
        <v>25</v>
      </c>
      <c r="E130" s="42" t="s">
        <v>26</v>
      </c>
      <c r="F130" s="9">
        <v>0.3</v>
      </c>
      <c r="G130" s="32">
        <v>0</v>
      </c>
    </row>
    <row r="131" spans="1:7" x14ac:dyDescent="0.3">
      <c r="A131" s="3" t="s">
        <v>10</v>
      </c>
      <c r="B131" s="1">
        <v>161.5</v>
      </c>
      <c r="E131" s="10" t="s">
        <v>11</v>
      </c>
      <c r="F131" s="48">
        <f>SUM(F120:F130)</f>
        <v>161.5</v>
      </c>
      <c r="G131" s="48">
        <f>($F120*G120+$F121*G121+$F122*G122+$F123*G123+$F124*G124+$F125*G125+$F126*G126+$F127*G127+$F128*G128+$F129*G129+$F130*G130)/$F131</f>
        <v>103.36284829721362</v>
      </c>
    </row>
    <row r="132" spans="1:7" x14ac:dyDescent="0.3">
      <c r="A132" s="3" t="s">
        <v>12</v>
      </c>
      <c r="B132" s="1" t="s">
        <v>13</v>
      </c>
      <c r="E132" s="14"/>
      <c r="F132" s="15"/>
      <c r="G132" s="16"/>
    </row>
    <row r="133" spans="1:7" x14ac:dyDescent="0.3">
      <c r="A133" s="3"/>
      <c r="E133" s="17"/>
      <c r="F133" s="1"/>
      <c r="G133" s="18"/>
    </row>
    <row r="134" spans="1:7" x14ac:dyDescent="0.3">
      <c r="A134" s="3" t="s">
        <v>135</v>
      </c>
    </row>
    <row r="135" spans="1:7" x14ac:dyDescent="0.3">
      <c r="A135" t="s">
        <v>136</v>
      </c>
      <c r="B135" s="1">
        <v>50</v>
      </c>
      <c r="D135" s="9" t="s">
        <v>137</v>
      </c>
      <c r="E135" s="42" t="s">
        <v>138</v>
      </c>
      <c r="F135" s="9">
        <v>50</v>
      </c>
      <c r="G135" s="32">
        <v>151</v>
      </c>
    </row>
    <row r="136" spans="1:7" x14ac:dyDescent="0.3">
      <c r="A136" t="s">
        <v>44</v>
      </c>
      <c r="B136" s="1">
        <v>10</v>
      </c>
      <c r="D136" s="9" t="s">
        <v>45</v>
      </c>
      <c r="E136" s="42" t="s">
        <v>46</v>
      </c>
      <c r="F136" s="9">
        <v>10</v>
      </c>
      <c r="G136" s="32">
        <v>899</v>
      </c>
    </row>
    <row r="137" spans="1:7" x14ac:dyDescent="0.3">
      <c r="A137" t="s">
        <v>139</v>
      </c>
      <c r="B137" s="1">
        <v>10</v>
      </c>
      <c r="D137" s="9" t="s">
        <v>140</v>
      </c>
      <c r="E137" s="42" t="s">
        <v>141</v>
      </c>
      <c r="F137" s="9">
        <v>10</v>
      </c>
      <c r="G137" s="32">
        <v>387</v>
      </c>
    </row>
    <row r="138" spans="1:7" x14ac:dyDescent="0.3">
      <c r="A138" t="s">
        <v>142</v>
      </c>
      <c r="B138" s="1">
        <v>10</v>
      </c>
      <c r="D138" s="9" t="s">
        <v>143</v>
      </c>
      <c r="E138" s="42" t="s">
        <v>144</v>
      </c>
      <c r="F138" s="9">
        <v>10</v>
      </c>
      <c r="G138" s="32">
        <v>28</v>
      </c>
    </row>
    <row r="139" spans="1:7" x14ac:dyDescent="0.3">
      <c r="A139" t="s">
        <v>145</v>
      </c>
      <c r="B139" s="1">
        <v>7</v>
      </c>
      <c r="D139" s="9" t="s">
        <v>146</v>
      </c>
      <c r="E139" s="42" t="s">
        <v>147</v>
      </c>
      <c r="F139" s="9">
        <v>7</v>
      </c>
      <c r="G139" s="32">
        <v>28</v>
      </c>
    </row>
    <row r="140" spans="1:7" x14ac:dyDescent="0.3">
      <c r="A140" t="s">
        <v>849</v>
      </c>
      <c r="B140" s="1">
        <v>10</v>
      </c>
      <c r="D140" s="9" t="s">
        <v>148</v>
      </c>
      <c r="E140" s="42" t="s">
        <v>849</v>
      </c>
      <c r="F140" s="9">
        <v>10</v>
      </c>
      <c r="G140" s="32">
        <v>19</v>
      </c>
    </row>
    <row r="141" spans="1:7" x14ac:dyDescent="0.3">
      <c r="A141" s="3" t="s">
        <v>10</v>
      </c>
      <c r="B141" s="1">
        <v>97</v>
      </c>
      <c r="E141" s="10" t="s">
        <v>11</v>
      </c>
      <c r="F141" s="48">
        <f>SUM(F132:F140)</f>
        <v>97</v>
      </c>
      <c r="G141" s="48">
        <f>($F$135*G135+$F$136*G136+$F$137*G137+$F$138*G138+$F$139*G139+$F$140*G140)/$F141</f>
        <v>217.27835051546393</v>
      </c>
    </row>
    <row r="142" spans="1:7" x14ac:dyDescent="0.3">
      <c r="A142" s="3" t="s">
        <v>12</v>
      </c>
      <c r="B142" s="1" t="s">
        <v>13</v>
      </c>
      <c r="E142" s="14"/>
      <c r="F142" s="15"/>
      <c r="G142" s="16"/>
    </row>
    <row r="143" spans="1:7" x14ac:dyDescent="0.3">
      <c r="A143" s="3"/>
      <c r="E143" s="17"/>
      <c r="F143" s="1"/>
      <c r="G143" s="18"/>
    </row>
    <row r="144" spans="1:7" x14ac:dyDescent="0.3">
      <c r="A144" s="3" t="s">
        <v>150</v>
      </c>
    </row>
    <row r="145" spans="1:7" x14ac:dyDescent="0.3">
      <c r="A145" t="s">
        <v>151</v>
      </c>
      <c r="B145" s="1">
        <v>200</v>
      </c>
      <c r="D145" s="9" t="s">
        <v>152</v>
      </c>
      <c r="E145" s="42" t="s">
        <v>153</v>
      </c>
      <c r="F145" s="9">
        <v>200</v>
      </c>
      <c r="G145" s="32">
        <v>33</v>
      </c>
    </row>
    <row r="146" spans="1:7" x14ac:dyDescent="0.3">
      <c r="A146" t="s">
        <v>44</v>
      </c>
      <c r="B146" s="1">
        <v>10</v>
      </c>
      <c r="D146" s="9" t="s">
        <v>45</v>
      </c>
      <c r="E146" s="42" t="s">
        <v>46</v>
      </c>
      <c r="F146" s="9">
        <v>10</v>
      </c>
      <c r="G146" s="32">
        <v>899</v>
      </c>
    </row>
    <row r="147" spans="1:7" x14ac:dyDescent="0.3">
      <c r="A147" t="s">
        <v>24</v>
      </c>
      <c r="B147" s="1">
        <v>0.3</v>
      </c>
      <c r="D147" s="9" t="s">
        <v>25</v>
      </c>
      <c r="E147" s="42" t="s">
        <v>26</v>
      </c>
      <c r="F147" s="9">
        <v>0.3</v>
      </c>
      <c r="G147" s="32">
        <v>0</v>
      </c>
    </row>
    <row r="148" spans="1:7" x14ac:dyDescent="0.3">
      <c r="A148" s="3" t="s">
        <v>10</v>
      </c>
      <c r="B148" s="1">
        <v>210.3</v>
      </c>
      <c r="E148" s="10" t="s">
        <v>11</v>
      </c>
      <c r="F148" s="48">
        <f>SUM(F145:F147)</f>
        <v>210.3</v>
      </c>
      <c r="G148" s="48">
        <f>($F$145*G145+$F$146*G146+$F$147*G147)/$F148</f>
        <v>74.132192106514495</v>
      </c>
    </row>
    <row r="149" spans="1:7" x14ac:dyDescent="0.3">
      <c r="A149" s="3" t="s">
        <v>12</v>
      </c>
      <c r="B149" s="1" t="s">
        <v>13</v>
      </c>
      <c r="E149" s="14"/>
      <c r="F149" s="15"/>
      <c r="G149" s="16"/>
    </row>
    <row r="150" spans="1:7" x14ac:dyDescent="0.3">
      <c r="A150" s="3"/>
      <c r="E150" s="17"/>
      <c r="F150" s="1"/>
      <c r="G150" s="18"/>
    </row>
    <row r="151" spans="1:7" x14ac:dyDescent="0.3">
      <c r="A151" s="3" t="s">
        <v>154</v>
      </c>
    </row>
    <row r="152" spans="1:7" x14ac:dyDescent="0.3">
      <c r="A152" t="s">
        <v>155</v>
      </c>
      <c r="B152" s="1">
        <v>50</v>
      </c>
      <c r="D152" s="9" t="s">
        <v>156</v>
      </c>
      <c r="E152" s="42" t="s">
        <v>157</v>
      </c>
      <c r="F152" s="9">
        <v>50</v>
      </c>
      <c r="G152" s="32">
        <v>239</v>
      </c>
    </row>
    <row r="153" spans="1:7" x14ac:dyDescent="0.3">
      <c r="A153" t="s">
        <v>44</v>
      </c>
      <c r="B153" s="1">
        <v>10</v>
      </c>
      <c r="D153" s="9" t="s">
        <v>45</v>
      </c>
      <c r="E153" s="42" t="s">
        <v>46</v>
      </c>
      <c r="F153" s="9">
        <v>10</v>
      </c>
      <c r="G153" s="32">
        <v>899</v>
      </c>
    </row>
    <row r="154" spans="1:7" x14ac:dyDescent="0.3">
      <c r="A154" t="s">
        <v>24</v>
      </c>
      <c r="B154" s="1">
        <v>0.3</v>
      </c>
      <c r="D154" s="9" t="s">
        <v>25</v>
      </c>
      <c r="E154" s="42" t="s">
        <v>26</v>
      </c>
      <c r="F154" s="9">
        <v>0.3</v>
      </c>
      <c r="G154" s="32">
        <v>0</v>
      </c>
    </row>
    <row r="155" spans="1:7" x14ac:dyDescent="0.3">
      <c r="A155" t="s">
        <v>91</v>
      </c>
      <c r="B155" s="1">
        <v>1</v>
      </c>
      <c r="D155" s="9" t="s">
        <v>92</v>
      </c>
      <c r="E155" s="42" t="s">
        <v>93</v>
      </c>
      <c r="F155" s="9">
        <v>1</v>
      </c>
      <c r="G155" s="32">
        <v>408</v>
      </c>
    </row>
    <row r="156" spans="1:7" x14ac:dyDescent="0.3">
      <c r="A156" s="3" t="s">
        <v>10</v>
      </c>
      <c r="B156" s="1">
        <v>61.3</v>
      </c>
      <c r="E156" s="10" t="s">
        <v>11</v>
      </c>
      <c r="F156" s="48">
        <f>SUM(F152:F155)</f>
        <v>61.3</v>
      </c>
      <c r="G156" s="48">
        <f>($F$152*G152+$F$153*G153+$F$154*G154+$F$155*G155)/$F156</f>
        <v>348.25448613376835</v>
      </c>
    </row>
    <row r="157" spans="1:7" x14ac:dyDescent="0.3">
      <c r="A157" s="3" t="s">
        <v>12</v>
      </c>
      <c r="B157" s="1" t="s">
        <v>13</v>
      </c>
      <c r="E157" s="14"/>
      <c r="F157" s="15"/>
      <c r="G157" s="16"/>
    </row>
    <row r="158" spans="1:7" x14ac:dyDescent="0.3">
      <c r="A158" s="3"/>
      <c r="E158" s="17"/>
      <c r="F158" s="1"/>
      <c r="G158" s="18"/>
    </row>
    <row r="159" spans="1:7" x14ac:dyDescent="0.3">
      <c r="A159" s="3" t="s">
        <v>158</v>
      </c>
    </row>
    <row r="160" spans="1:7" x14ac:dyDescent="0.3">
      <c r="A160" s="42" t="s">
        <v>317</v>
      </c>
      <c r="B160" s="1">
        <v>125</v>
      </c>
      <c r="D160" s="9" t="s">
        <v>159</v>
      </c>
      <c r="E160" s="42" t="s">
        <v>317</v>
      </c>
      <c r="F160" s="9">
        <v>125</v>
      </c>
      <c r="G160" s="32">
        <v>46</v>
      </c>
    </row>
    <row r="161" spans="1:7" x14ac:dyDescent="0.3">
      <c r="A161" t="s">
        <v>6</v>
      </c>
      <c r="B161" s="1">
        <v>30</v>
      </c>
      <c r="D161" s="9" t="s">
        <v>7</v>
      </c>
      <c r="E161" s="42" t="s">
        <v>8</v>
      </c>
      <c r="F161" s="9">
        <v>30</v>
      </c>
      <c r="G161" s="32">
        <v>2</v>
      </c>
    </row>
    <row r="162" spans="1:7" x14ac:dyDescent="0.3">
      <c r="A162" s="3" t="s">
        <v>10</v>
      </c>
      <c r="B162" s="1">
        <v>155</v>
      </c>
      <c r="E162" s="10" t="s">
        <v>11</v>
      </c>
      <c r="F162" s="48">
        <f>SUM(F159:F161)</f>
        <v>155</v>
      </c>
      <c r="G162" s="48">
        <f>($F$160*G160+$F$161*G161)/$F162</f>
        <v>37.483870967741936</v>
      </c>
    </row>
    <row r="163" spans="1:7" x14ac:dyDescent="0.3">
      <c r="A163" s="3" t="s">
        <v>12</v>
      </c>
      <c r="B163" s="1" t="s">
        <v>13</v>
      </c>
      <c r="E163" s="14"/>
      <c r="F163" s="15"/>
      <c r="G163" s="16"/>
    </row>
    <row r="164" spans="1:7" x14ac:dyDescent="0.3">
      <c r="A164" s="3"/>
      <c r="E164" s="17"/>
      <c r="F164" s="1"/>
      <c r="G164" s="18"/>
    </row>
    <row r="165" spans="1:7" x14ac:dyDescent="0.3">
      <c r="A165" s="3" t="s">
        <v>160</v>
      </c>
    </row>
    <row r="166" spans="1:7" x14ac:dyDescent="0.3">
      <c r="A166" t="s">
        <v>161</v>
      </c>
      <c r="B166" s="1">
        <v>30</v>
      </c>
      <c r="D166" s="9" t="s">
        <v>7</v>
      </c>
      <c r="E166" s="42" t="s">
        <v>8</v>
      </c>
      <c r="F166" s="9">
        <v>30</v>
      </c>
      <c r="G166" s="32">
        <v>2</v>
      </c>
    </row>
    <row r="167" spans="1:7" x14ac:dyDescent="0.3">
      <c r="A167" t="s">
        <v>69</v>
      </c>
      <c r="B167" s="1">
        <v>10</v>
      </c>
      <c r="D167" s="9" t="s">
        <v>70</v>
      </c>
      <c r="E167" s="42" t="s">
        <v>850</v>
      </c>
      <c r="F167" s="9">
        <v>10</v>
      </c>
      <c r="G167" s="32">
        <v>64</v>
      </c>
    </row>
    <row r="168" spans="1:7" x14ac:dyDescent="0.3">
      <c r="A168" t="s">
        <v>162</v>
      </c>
      <c r="B168" s="1">
        <v>5</v>
      </c>
      <c r="D168" s="9" t="s">
        <v>163</v>
      </c>
      <c r="E168" s="42" t="s">
        <v>164</v>
      </c>
      <c r="F168" s="9">
        <v>5</v>
      </c>
      <c r="G168" s="32">
        <v>413</v>
      </c>
    </row>
    <row r="169" spans="1:7" x14ac:dyDescent="0.3">
      <c r="A169" s="3" t="s">
        <v>10</v>
      </c>
      <c r="B169" s="1">
        <v>45</v>
      </c>
      <c r="E169" s="10" t="s">
        <v>11</v>
      </c>
      <c r="F169" s="48">
        <f>SUM(F166:F168)</f>
        <v>45</v>
      </c>
      <c r="G169" s="48">
        <f>($F$166*G166+$F$167*G167+$F$168*G168)/$F169</f>
        <v>61.444444444444443</v>
      </c>
    </row>
    <row r="170" spans="1:7" x14ac:dyDescent="0.3">
      <c r="A170" s="3" t="s">
        <v>12</v>
      </c>
      <c r="B170" s="1" t="s">
        <v>13</v>
      </c>
      <c r="E170" s="14"/>
      <c r="F170" s="15"/>
      <c r="G170" s="16"/>
    </row>
    <row r="171" spans="1:7" x14ac:dyDescent="0.3">
      <c r="A171" s="3"/>
      <c r="E171" s="17"/>
      <c r="F171" s="1"/>
      <c r="G171" s="18"/>
    </row>
    <row r="172" spans="1:7" x14ac:dyDescent="0.3">
      <c r="A172" s="3" t="s">
        <v>165</v>
      </c>
    </row>
    <row r="173" spans="1:7" x14ac:dyDescent="0.3">
      <c r="A173" t="s">
        <v>166</v>
      </c>
      <c r="B173" s="1">
        <v>30</v>
      </c>
      <c r="D173" s="9" t="s">
        <v>167</v>
      </c>
      <c r="E173" s="42" t="s">
        <v>168</v>
      </c>
      <c r="F173" s="9">
        <v>30</v>
      </c>
      <c r="G173" s="32">
        <v>2</v>
      </c>
    </row>
    <row r="174" spans="1:7" x14ac:dyDescent="0.3">
      <c r="A174" t="s">
        <v>69</v>
      </c>
      <c r="B174" s="1">
        <v>8</v>
      </c>
      <c r="D174" s="9" t="s">
        <v>70</v>
      </c>
      <c r="E174" s="42" t="s">
        <v>850</v>
      </c>
      <c r="F174" s="9">
        <v>8</v>
      </c>
      <c r="G174" s="32">
        <v>64</v>
      </c>
    </row>
    <row r="175" spans="1:7" x14ac:dyDescent="0.3">
      <c r="A175" s="3" t="s">
        <v>10</v>
      </c>
      <c r="B175" s="1">
        <v>38</v>
      </c>
      <c r="E175" s="10" t="s">
        <v>11</v>
      </c>
      <c r="F175" s="48">
        <f>SUM(F173:F174)</f>
        <v>38</v>
      </c>
      <c r="G175" s="48">
        <f>($F$173*G173+$F$174*G174)/$F175</f>
        <v>15.052631578947368</v>
      </c>
    </row>
    <row r="176" spans="1:7" x14ac:dyDescent="0.3">
      <c r="A176" s="3" t="s">
        <v>12</v>
      </c>
      <c r="B176" s="1" t="s">
        <v>13</v>
      </c>
      <c r="E176" s="14"/>
      <c r="F176" s="15"/>
      <c r="G176" s="16"/>
    </row>
    <row r="177" spans="1:7" x14ac:dyDescent="0.3">
      <c r="A177" s="3"/>
      <c r="E177" s="17"/>
      <c r="F177" s="1"/>
      <c r="G177" s="18"/>
    </row>
    <row r="178" spans="1:7" x14ac:dyDescent="0.3">
      <c r="A178" s="3" t="s">
        <v>169</v>
      </c>
    </row>
    <row r="179" spans="1:7" x14ac:dyDescent="0.3">
      <c r="A179" t="s">
        <v>69</v>
      </c>
      <c r="B179" s="1">
        <v>125</v>
      </c>
      <c r="D179" s="9" t="s">
        <v>70</v>
      </c>
      <c r="E179" s="42" t="s">
        <v>850</v>
      </c>
      <c r="F179" s="9">
        <v>125</v>
      </c>
      <c r="G179" s="32">
        <v>64</v>
      </c>
    </row>
    <row r="180" spans="1:7" x14ac:dyDescent="0.3">
      <c r="A180" t="s">
        <v>6</v>
      </c>
      <c r="B180" s="1">
        <v>40</v>
      </c>
      <c r="D180" s="9" t="s">
        <v>7</v>
      </c>
      <c r="E180" s="42" t="s">
        <v>8</v>
      </c>
      <c r="F180" s="9">
        <v>40</v>
      </c>
      <c r="G180" s="32">
        <v>2</v>
      </c>
    </row>
    <row r="181" spans="1:7" x14ac:dyDescent="0.3">
      <c r="A181" s="3" t="s">
        <v>10</v>
      </c>
      <c r="B181" s="1">
        <v>165</v>
      </c>
      <c r="E181" s="10" t="s">
        <v>11</v>
      </c>
      <c r="F181" s="48">
        <f>SUM(F179:F180)</f>
        <v>165</v>
      </c>
      <c r="G181" s="48">
        <f>($F$179*G179+$F$180*G180)/$F181</f>
        <v>48.969696969696969</v>
      </c>
    </row>
    <row r="182" spans="1:7" x14ac:dyDescent="0.3">
      <c r="A182" s="3" t="s">
        <v>12</v>
      </c>
      <c r="B182" s="1" t="s">
        <v>13</v>
      </c>
      <c r="E182" s="14"/>
      <c r="F182" s="15"/>
      <c r="G182" s="16"/>
    </row>
    <row r="183" spans="1:7" x14ac:dyDescent="0.3">
      <c r="A183" s="3"/>
      <c r="E183" s="17"/>
      <c r="F183" s="1"/>
      <c r="G183" s="18"/>
    </row>
    <row r="184" spans="1:7" x14ac:dyDescent="0.3">
      <c r="A184" s="3" t="s">
        <v>170</v>
      </c>
    </row>
    <row r="185" spans="1:7" x14ac:dyDescent="0.3">
      <c r="A185" t="s">
        <v>171</v>
      </c>
      <c r="B185" s="1">
        <v>100</v>
      </c>
      <c r="D185" s="9" t="s">
        <v>172</v>
      </c>
      <c r="E185" s="42" t="s">
        <v>173</v>
      </c>
      <c r="F185" s="9">
        <v>100</v>
      </c>
      <c r="G185" s="32">
        <v>253</v>
      </c>
    </row>
    <row r="186" spans="1:7" x14ac:dyDescent="0.3">
      <c r="A186" t="s">
        <v>849</v>
      </c>
      <c r="B186" s="1">
        <v>200</v>
      </c>
      <c r="D186" s="9" t="s">
        <v>148</v>
      </c>
      <c r="E186" s="42" t="s">
        <v>849</v>
      </c>
      <c r="F186" s="9">
        <v>200</v>
      </c>
      <c r="G186" s="32">
        <v>19</v>
      </c>
    </row>
    <row r="187" spans="1:7" x14ac:dyDescent="0.3">
      <c r="A187" t="s">
        <v>174</v>
      </c>
      <c r="B187" s="1">
        <v>2</v>
      </c>
      <c r="D187" s="9" t="s">
        <v>175</v>
      </c>
      <c r="E187" s="42" t="s">
        <v>176</v>
      </c>
      <c r="F187" s="9">
        <v>2</v>
      </c>
      <c r="G187" s="32">
        <v>49</v>
      </c>
    </row>
    <row r="188" spans="1:7" x14ac:dyDescent="0.3">
      <c r="A188" t="s">
        <v>44</v>
      </c>
      <c r="B188" s="1">
        <v>10</v>
      </c>
      <c r="D188" s="9" t="s">
        <v>45</v>
      </c>
      <c r="E188" s="42" t="s">
        <v>46</v>
      </c>
      <c r="F188" s="9">
        <v>10</v>
      </c>
      <c r="G188" s="32">
        <v>899</v>
      </c>
    </row>
    <row r="189" spans="1:7" x14ac:dyDescent="0.3">
      <c r="A189" t="s">
        <v>24</v>
      </c>
      <c r="B189" s="1">
        <v>0.3</v>
      </c>
      <c r="D189" s="9" t="s">
        <v>25</v>
      </c>
      <c r="E189" s="42" t="s">
        <v>26</v>
      </c>
      <c r="F189" s="9">
        <v>0.3</v>
      </c>
      <c r="G189" s="32">
        <v>0</v>
      </c>
    </row>
    <row r="190" spans="1:7" x14ac:dyDescent="0.3">
      <c r="A190" t="s">
        <v>71</v>
      </c>
      <c r="B190" s="1">
        <v>0.1</v>
      </c>
      <c r="D190" s="9" t="s">
        <v>72</v>
      </c>
      <c r="E190" s="42" t="s">
        <v>73</v>
      </c>
      <c r="F190" s="9">
        <v>0.1</v>
      </c>
      <c r="G190" s="32">
        <v>270</v>
      </c>
    </row>
    <row r="191" spans="1:7" x14ac:dyDescent="0.3">
      <c r="A191" s="3" t="s">
        <v>10</v>
      </c>
      <c r="B191" s="1">
        <v>312.39999999999998</v>
      </c>
      <c r="E191" s="10" t="s">
        <v>11</v>
      </c>
      <c r="F191" s="48">
        <f>SUM(F182:F190)</f>
        <v>312.40000000000003</v>
      </c>
      <c r="G191" s="48">
        <f>($F$185*G185+$F$186*G186+$F$187*G187+$F$188*G188+$F$189*G189+$F$190*G190)/$F191</f>
        <v>122.3271446862996</v>
      </c>
    </row>
    <row r="192" spans="1:7" x14ac:dyDescent="0.3">
      <c r="A192" s="3" t="s">
        <v>12</v>
      </c>
      <c r="B192" s="1" t="s">
        <v>13</v>
      </c>
      <c r="E192" s="14"/>
      <c r="F192" s="15"/>
      <c r="G192" s="16"/>
    </row>
    <row r="193" spans="1:7" x14ac:dyDescent="0.3">
      <c r="A193" s="3"/>
      <c r="E193" s="17"/>
      <c r="F193" s="1"/>
      <c r="G193" s="18"/>
    </row>
    <row r="194" spans="1:7" x14ac:dyDescent="0.3">
      <c r="A194" s="3" t="s">
        <v>177</v>
      </c>
    </row>
    <row r="195" spans="1:7" x14ac:dyDescent="0.3">
      <c r="A195" t="s">
        <v>178</v>
      </c>
      <c r="B195" s="1">
        <v>200</v>
      </c>
      <c r="D195" s="9" t="s">
        <v>179</v>
      </c>
      <c r="E195" s="42" t="s">
        <v>180</v>
      </c>
      <c r="F195" s="9">
        <v>200</v>
      </c>
      <c r="G195" s="32">
        <v>33</v>
      </c>
    </row>
    <row r="196" spans="1:7" x14ac:dyDescent="0.3">
      <c r="A196" t="s">
        <v>44</v>
      </c>
      <c r="B196" s="1">
        <v>10</v>
      </c>
      <c r="D196" s="9" t="s">
        <v>45</v>
      </c>
      <c r="E196" s="42" t="s">
        <v>46</v>
      </c>
      <c r="F196" s="9">
        <v>10</v>
      </c>
      <c r="G196" s="32">
        <v>899</v>
      </c>
    </row>
    <row r="197" spans="1:7" x14ac:dyDescent="0.3">
      <c r="A197" t="s">
        <v>24</v>
      </c>
      <c r="B197" s="1">
        <v>0.3</v>
      </c>
      <c r="D197" s="9" t="s">
        <v>25</v>
      </c>
      <c r="E197" s="42" t="s">
        <v>26</v>
      </c>
      <c r="F197" s="9">
        <v>0.3</v>
      </c>
      <c r="G197" s="32">
        <v>0</v>
      </c>
    </row>
    <row r="198" spans="1:7" x14ac:dyDescent="0.3">
      <c r="A198" t="s">
        <v>88</v>
      </c>
      <c r="B198" s="1">
        <v>5</v>
      </c>
      <c r="D198" s="9" t="s">
        <v>89</v>
      </c>
      <c r="E198" s="42" t="s">
        <v>90</v>
      </c>
      <c r="F198" s="9">
        <v>5</v>
      </c>
      <c r="G198" s="32">
        <v>45</v>
      </c>
    </row>
    <row r="199" spans="1:7" x14ac:dyDescent="0.3">
      <c r="A199" t="s">
        <v>105</v>
      </c>
      <c r="B199" s="1">
        <v>3</v>
      </c>
      <c r="D199" s="9" t="s">
        <v>106</v>
      </c>
      <c r="E199" s="42" t="s">
        <v>107</v>
      </c>
      <c r="F199" s="9">
        <v>3</v>
      </c>
      <c r="G199" s="32">
        <v>30</v>
      </c>
    </row>
    <row r="200" spans="1:7" x14ac:dyDescent="0.3">
      <c r="A200" s="3" t="s">
        <v>10</v>
      </c>
      <c r="B200" s="1">
        <v>218.3</v>
      </c>
      <c r="E200" s="10" t="s">
        <v>11</v>
      </c>
      <c r="F200" s="48">
        <f>SUM(F195:F199)</f>
        <v>218.3</v>
      </c>
      <c r="G200" s="48">
        <f>($F$195*G195+$F$196*G196+$F$197*G197+$F$198*G198+$F$199*G199)/$F200</f>
        <v>72.858451672010986</v>
      </c>
    </row>
    <row r="201" spans="1:7" x14ac:dyDescent="0.3">
      <c r="A201" s="3" t="s">
        <v>12</v>
      </c>
      <c r="B201" s="1" t="s">
        <v>13</v>
      </c>
      <c r="E201" s="14"/>
      <c r="F201" s="15"/>
      <c r="G201" s="16"/>
    </row>
    <row r="202" spans="1:7" x14ac:dyDescent="0.3">
      <c r="A202" s="3"/>
      <c r="E202" s="17"/>
      <c r="F202" s="1"/>
      <c r="G202" s="18"/>
    </row>
    <row r="203" spans="1:7" x14ac:dyDescent="0.3">
      <c r="A203" s="3" t="s">
        <v>181</v>
      </c>
    </row>
    <row r="204" spans="1:7" x14ac:dyDescent="0.3">
      <c r="A204" t="s">
        <v>178</v>
      </c>
      <c r="B204" s="1">
        <v>200</v>
      </c>
      <c r="D204" s="9" t="s">
        <v>179</v>
      </c>
      <c r="E204" s="42" t="s">
        <v>180</v>
      </c>
      <c r="F204" s="9">
        <v>200</v>
      </c>
      <c r="G204" s="32">
        <v>33</v>
      </c>
    </row>
    <row r="205" spans="1:7" x14ac:dyDescent="0.3">
      <c r="A205" t="s">
        <v>44</v>
      </c>
      <c r="B205" s="1">
        <v>10</v>
      </c>
      <c r="D205" s="9" t="s">
        <v>45</v>
      </c>
      <c r="E205" s="42" t="s">
        <v>46</v>
      </c>
      <c r="F205" s="9">
        <v>10</v>
      </c>
      <c r="G205" s="32">
        <v>899</v>
      </c>
    </row>
    <row r="206" spans="1:7" x14ac:dyDescent="0.3">
      <c r="A206" t="s">
        <v>24</v>
      </c>
      <c r="B206" s="1">
        <v>0.3</v>
      </c>
      <c r="D206" s="9" t="s">
        <v>25</v>
      </c>
      <c r="E206" s="42" t="s">
        <v>26</v>
      </c>
      <c r="F206" s="9">
        <v>0.3</v>
      </c>
      <c r="G206" s="32">
        <v>0</v>
      </c>
    </row>
    <row r="207" spans="1:7" x14ac:dyDescent="0.3">
      <c r="A207" s="3" t="s">
        <v>10</v>
      </c>
      <c r="B207" s="1">
        <v>210.3</v>
      </c>
      <c r="E207" s="10" t="s">
        <v>11</v>
      </c>
      <c r="F207" s="48">
        <f>SUM(F203:F206)</f>
        <v>210.3</v>
      </c>
      <c r="G207" s="48">
        <f>($F$204*G204+$F$205*G205+$F$206*G206)/$F207</f>
        <v>74.132192106514495</v>
      </c>
    </row>
    <row r="208" spans="1:7" x14ac:dyDescent="0.3">
      <c r="A208" s="3" t="s">
        <v>12</v>
      </c>
      <c r="B208" s="1" t="s">
        <v>13</v>
      </c>
      <c r="E208" s="14"/>
      <c r="F208" s="15"/>
      <c r="G208" s="16"/>
    </row>
    <row r="209" spans="1:19" x14ac:dyDescent="0.3">
      <c r="A209" s="3"/>
      <c r="E209" s="17"/>
      <c r="F209" s="1"/>
      <c r="G209" s="18"/>
      <c r="O209" s="1"/>
      <c r="P209" s="1"/>
      <c r="Q209" s="1"/>
      <c r="R209" s="1"/>
      <c r="S209" s="1"/>
    </row>
    <row r="210" spans="1:19" x14ac:dyDescent="0.3">
      <c r="A210" s="3" t="s">
        <v>182</v>
      </c>
      <c r="I210" s="77"/>
      <c r="J210" s="77"/>
      <c r="K210" s="77"/>
      <c r="L210" s="77"/>
      <c r="O210" s="1"/>
      <c r="P210" s="1"/>
      <c r="Q210" s="1"/>
      <c r="R210" s="1"/>
      <c r="S210" s="1"/>
    </row>
    <row r="211" spans="1:19" x14ac:dyDescent="0.3">
      <c r="A211" t="s">
        <v>123</v>
      </c>
      <c r="B211" s="1">
        <v>200</v>
      </c>
      <c r="D211" s="9" t="s">
        <v>124</v>
      </c>
      <c r="E211" s="42" t="s">
        <v>125</v>
      </c>
      <c r="F211" s="9">
        <v>200</v>
      </c>
      <c r="G211" s="32">
        <v>39</v>
      </c>
      <c r="I211" s="77"/>
      <c r="J211" s="77"/>
      <c r="K211" s="77"/>
      <c r="L211" s="77"/>
      <c r="O211" s="1"/>
      <c r="P211" s="1"/>
      <c r="Q211" s="1"/>
      <c r="S211" s="1"/>
    </row>
    <row r="212" spans="1:19" x14ac:dyDescent="0.3">
      <c r="A212" t="s">
        <v>44</v>
      </c>
      <c r="B212" s="1">
        <v>10</v>
      </c>
      <c r="D212" s="9" t="s">
        <v>45</v>
      </c>
      <c r="E212" s="42" t="s">
        <v>46</v>
      </c>
      <c r="F212" s="9">
        <v>10</v>
      </c>
      <c r="G212" s="32">
        <v>899</v>
      </c>
      <c r="I212" s="77"/>
      <c r="J212" s="77"/>
      <c r="K212" s="77"/>
      <c r="L212" s="77"/>
    </row>
    <row r="213" spans="1:19" x14ac:dyDescent="0.3">
      <c r="A213" t="s">
        <v>183</v>
      </c>
      <c r="B213" s="1">
        <v>5</v>
      </c>
      <c r="D213" s="9" t="s">
        <v>184</v>
      </c>
      <c r="E213" s="42" t="s">
        <v>185</v>
      </c>
      <c r="F213" s="9">
        <v>5</v>
      </c>
      <c r="G213" s="32">
        <v>15</v>
      </c>
      <c r="I213" s="77"/>
      <c r="J213" s="77"/>
      <c r="K213" s="77"/>
      <c r="L213" s="77"/>
    </row>
    <row r="214" spans="1:19" x14ac:dyDescent="0.3">
      <c r="A214" t="s">
        <v>24</v>
      </c>
      <c r="B214" s="1">
        <v>0.3</v>
      </c>
      <c r="D214" s="9" t="s">
        <v>25</v>
      </c>
      <c r="E214" s="42" t="s">
        <v>26</v>
      </c>
      <c r="F214" s="9">
        <v>0.3</v>
      </c>
      <c r="G214" s="32">
        <v>0</v>
      </c>
      <c r="I214" s="77"/>
      <c r="J214" s="77"/>
      <c r="K214" s="77"/>
      <c r="L214" s="77"/>
    </row>
    <row r="215" spans="1:19" x14ac:dyDescent="0.3">
      <c r="A215" s="3" t="s">
        <v>10</v>
      </c>
      <c r="B215" s="1">
        <v>215.3</v>
      </c>
      <c r="E215" s="10" t="s">
        <v>11</v>
      </c>
      <c r="F215" s="48">
        <f>SUM(F211:F214)</f>
        <v>215.3</v>
      </c>
      <c r="G215" s="48">
        <f>($F$211*G211+$F$212*G212+$F$213*G213+$F$214*G214)/$F215</f>
        <v>78.332559219693451</v>
      </c>
      <c r="I215" s="77"/>
      <c r="J215" s="77"/>
      <c r="K215" s="77"/>
      <c r="L215" s="77"/>
    </row>
    <row r="216" spans="1:19" x14ac:dyDescent="0.3">
      <c r="A216" s="3" t="s">
        <v>12</v>
      </c>
      <c r="B216" s="1" t="s">
        <v>13</v>
      </c>
      <c r="E216" s="14"/>
      <c r="F216" s="15"/>
      <c r="G216" s="16"/>
      <c r="I216" s="77"/>
      <c r="J216" s="77"/>
      <c r="K216" s="77"/>
      <c r="L216" s="77"/>
    </row>
    <row r="217" spans="1:19" x14ac:dyDescent="0.3">
      <c r="A217" s="3"/>
      <c r="E217" s="17"/>
      <c r="F217" s="1"/>
      <c r="G217" s="18"/>
    </row>
    <row r="218" spans="1:19" x14ac:dyDescent="0.3">
      <c r="A218" s="3" t="s">
        <v>186</v>
      </c>
    </row>
    <row r="219" spans="1:19" x14ac:dyDescent="0.3">
      <c r="A219" t="s">
        <v>123</v>
      </c>
      <c r="B219" s="1">
        <v>200</v>
      </c>
      <c r="D219" s="9" t="s">
        <v>124</v>
      </c>
      <c r="E219" s="42" t="s">
        <v>125</v>
      </c>
      <c r="F219" s="9">
        <v>200</v>
      </c>
      <c r="G219" s="32">
        <v>39</v>
      </c>
    </row>
    <row r="220" spans="1:19" x14ac:dyDescent="0.3">
      <c r="A220" t="s">
        <v>44</v>
      </c>
      <c r="B220" s="1">
        <v>10</v>
      </c>
      <c r="D220" s="9" t="s">
        <v>45</v>
      </c>
      <c r="E220" s="42" t="s">
        <v>46</v>
      </c>
      <c r="F220" s="9">
        <v>10</v>
      </c>
      <c r="G220" s="32">
        <v>899</v>
      </c>
    </row>
    <row r="221" spans="1:19" x14ac:dyDescent="0.3">
      <c r="A221" t="s">
        <v>24</v>
      </c>
      <c r="B221" s="1">
        <v>0.3</v>
      </c>
      <c r="D221" s="9" t="s">
        <v>25</v>
      </c>
      <c r="E221" s="42" t="s">
        <v>26</v>
      </c>
      <c r="F221" s="9">
        <v>0.3</v>
      </c>
      <c r="G221" s="32">
        <v>0</v>
      </c>
    </row>
    <row r="222" spans="1:19" x14ac:dyDescent="0.3">
      <c r="A222" s="3" t="s">
        <v>10</v>
      </c>
      <c r="B222" s="1">
        <v>210.3</v>
      </c>
      <c r="E222" s="10" t="s">
        <v>11</v>
      </c>
      <c r="F222" s="48">
        <f>SUM(F219:F221)</f>
        <v>210.3</v>
      </c>
      <c r="G222" s="48">
        <f>($F219*G219+$F220*G220+$F221*G221)/$F222</f>
        <v>79.838326200665705</v>
      </c>
    </row>
    <row r="223" spans="1:19" x14ac:dyDescent="0.3">
      <c r="A223" s="3" t="s">
        <v>12</v>
      </c>
      <c r="B223" s="1" t="s">
        <v>13</v>
      </c>
      <c r="E223" s="14"/>
      <c r="F223" s="15"/>
      <c r="G223" s="16"/>
    </row>
    <row r="224" spans="1:19" x14ac:dyDescent="0.3">
      <c r="A224" s="3"/>
      <c r="E224" s="17"/>
      <c r="F224" s="1"/>
      <c r="G224" s="18"/>
    </row>
    <row r="225" spans="1:7" x14ac:dyDescent="0.3">
      <c r="A225" s="3" t="s">
        <v>187</v>
      </c>
    </row>
    <row r="226" spans="1:7" x14ac:dyDescent="0.3">
      <c r="A226" t="s">
        <v>82</v>
      </c>
      <c r="B226" s="1">
        <v>100</v>
      </c>
      <c r="D226" s="9" t="s">
        <v>83</v>
      </c>
      <c r="E226" s="42" t="s">
        <v>84</v>
      </c>
      <c r="F226" s="8">
        <v>100</v>
      </c>
      <c r="G226" s="32">
        <v>108</v>
      </c>
    </row>
    <row r="227" spans="1:7" x14ac:dyDescent="0.3">
      <c r="A227" t="s">
        <v>139</v>
      </c>
      <c r="B227" s="1">
        <v>15</v>
      </c>
      <c r="D227" s="9" t="s">
        <v>140</v>
      </c>
      <c r="E227" s="8" t="s">
        <v>141</v>
      </c>
      <c r="F227" s="8">
        <v>15</v>
      </c>
      <c r="G227" s="32">
        <v>387</v>
      </c>
    </row>
    <row r="228" spans="1:7" x14ac:dyDescent="0.3">
      <c r="A228" t="s">
        <v>188</v>
      </c>
      <c r="B228" s="1">
        <v>10</v>
      </c>
      <c r="D228" s="9" t="s">
        <v>189</v>
      </c>
      <c r="E228" s="42" t="s">
        <v>190</v>
      </c>
      <c r="F228" s="8">
        <v>10</v>
      </c>
      <c r="G228" s="32">
        <v>900</v>
      </c>
    </row>
    <row r="229" spans="1:7" x14ac:dyDescent="0.3">
      <c r="A229" t="s">
        <v>142</v>
      </c>
      <c r="B229" s="1">
        <v>10</v>
      </c>
      <c r="D229" s="9" t="s">
        <v>143</v>
      </c>
      <c r="E229" s="42" t="s">
        <v>144</v>
      </c>
      <c r="F229" s="8">
        <v>10</v>
      </c>
      <c r="G229" s="32">
        <v>28</v>
      </c>
    </row>
    <row r="230" spans="1:7" x14ac:dyDescent="0.3">
      <c r="A230" t="s">
        <v>71</v>
      </c>
      <c r="B230" s="1">
        <v>0.1</v>
      </c>
      <c r="D230" s="9" t="s">
        <v>72</v>
      </c>
      <c r="E230" s="42" t="s">
        <v>73</v>
      </c>
      <c r="F230" s="9">
        <v>0.1</v>
      </c>
      <c r="G230" s="32">
        <v>270</v>
      </c>
    </row>
    <row r="231" spans="1:7" x14ac:dyDescent="0.3">
      <c r="A231" t="s">
        <v>24</v>
      </c>
      <c r="B231" s="1">
        <v>0.3</v>
      </c>
      <c r="D231" s="9" t="s">
        <v>25</v>
      </c>
      <c r="E231" s="42" t="s">
        <v>26</v>
      </c>
      <c r="F231" s="9">
        <v>0.3</v>
      </c>
      <c r="G231" s="32">
        <v>0</v>
      </c>
    </row>
    <row r="232" spans="1:7" x14ac:dyDescent="0.3">
      <c r="A232" s="3" t="s">
        <v>10</v>
      </c>
      <c r="B232" s="1">
        <v>135.4</v>
      </c>
      <c r="E232" s="10" t="s">
        <v>11</v>
      </c>
      <c r="F232" s="48">
        <f>SUM(F226:F231)</f>
        <v>135.4</v>
      </c>
      <c r="G232" s="48">
        <f>($F$226*G226+$F$227*G227+$F$228*G228+$F$229*G229+$F$230*G230+$F$231*G231)/$F232</f>
        <v>191.37370753323486</v>
      </c>
    </row>
    <row r="233" spans="1:7" x14ac:dyDescent="0.3">
      <c r="A233" s="3" t="s">
        <v>12</v>
      </c>
      <c r="B233" s="1" t="s">
        <v>13</v>
      </c>
      <c r="E233" s="14"/>
      <c r="F233" s="15"/>
      <c r="G233" s="16"/>
    </row>
    <row r="234" spans="1:7" x14ac:dyDescent="0.3">
      <c r="A234" s="3"/>
      <c r="E234" s="17"/>
      <c r="F234" s="1"/>
      <c r="G234" s="18"/>
    </row>
    <row r="235" spans="1:7" x14ac:dyDescent="0.3">
      <c r="A235" s="3" t="s">
        <v>191</v>
      </c>
    </row>
    <row r="236" spans="1:7" x14ac:dyDescent="0.3">
      <c r="A236" t="s">
        <v>192</v>
      </c>
      <c r="B236" s="1">
        <v>150</v>
      </c>
      <c r="D236" s="9" t="s">
        <v>193</v>
      </c>
      <c r="E236" s="42" t="s">
        <v>194</v>
      </c>
      <c r="F236" s="9">
        <v>150</v>
      </c>
      <c r="G236" s="32">
        <v>109</v>
      </c>
    </row>
    <row r="237" spans="1:7" x14ac:dyDescent="0.3">
      <c r="A237" t="s">
        <v>44</v>
      </c>
      <c r="B237" s="1">
        <v>10</v>
      </c>
      <c r="D237" s="9" t="s">
        <v>45</v>
      </c>
      <c r="E237" s="42" t="s">
        <v>46</v>
      </c>
      <c r="F237" s="9">
        <v>10</v>
      </c>
      <c r="G237" s="32">
        <v>899</v>
      </c>
    </row>
    <row r="238" spans="1:7" x14ac:dyDescent="0.3">
      <c r="A238" t="s">
        <v>183</v>
      </c>
      <c r="B238" s="1">
        <v>10</v>
      </c>
      <c r="D238" s="9" t="s">
        <v>184</v>
      </c>
      <c r="E238" s="42" t="s">
        <v>185</v>
      </c>
      <c r="F238" s="9">
        <v>10</v>
      </c>
      <c r="G238" s="32">
        <v>15</v>
      </c>
    </row>
    <row r="239" spans="1:7" x14ac:dyDescent="0.3">
      <c r="A239" t="s">
        <v>105</v>
      </c>
      <c r="B239" s="1">
        <v>4</v>
      </c>
      <c r="D239" s="9" t="s">
        <v>106</v>
      </c>
      <c r="E239" s="42" t="s">
        <v>107</v>
      </c>
      <c r="F239" s="9">
        <v>4</v>
      </c>
      <c r="G239" s="32">
        <v>30</v>
      </c>
    </row>
    <row r="240" spans="1:7" x14ac:dyDescent="0.3">
      <c r="A240" t="s">
        <v>24</v>
      </c>
      <c r="B240" s="1">
        <v>0.3</v>
      </c>
      <c r="D240" s="9" t="s">
        <v>25</v>
      </c>
      <c r="E240" s="42" t="s">
        <v>26</v>
      </c>
      <c r="F240" s="9">
        <v>0.3</v>
      </c>
      <c r="G240" s="32">
        <v>0</v>
      </c>
    </row>
    <row r="241" spans="1:7" x14ac:dyDescent="0.3">
      <c r="A241" t="s">
        <v>71</v>
      </c>
      <c r="B241" s="1">
        <v>0.1</v>
      </c>
      <c r="D241" s="9" t="s">
        <v>72</v>
      </c>
      <c r="E241" s="42" t="s">
        <v>73</v>
      </c>
      <c r="F241" s="9">
        <v>0.1</v>
      </c>
      <c r="G241" s="32">
        <v>270</v>
      </c>
    </row>
    <row r="242" spans="1:7" x14ac:dyDescent="0.3">
      <c r="A242" s="3" t="s">
        <v>10</v>
      </c>
      <c r="B242" s="1">
        <v>174.4</v>
      </c>
      <c r="E242" s="10" t="s">
        <v>11</v>
      </c>
      <c r="F242" s="48">
        <f>SUM(F236:F241)</f>
        <v>174.4</v>
      </c>
      <c r="G242" s="48">
        <f>($F$236*G236+$F$237*G237+$F$238*G238+$F$239*G239+$F$240*G240+$F$241*G241)/$F242</f>
        <v>147.00114678899081</v>
      </c>
    </row>
    <row r="243" spans="1:7" x14ac:dyDescent="0.3">
      <c r="A243" s="3" t="s">
        <v>12</v>
      </c>
      <c r="B243" s="1" t="s">
        <v>13</v>
      </c>
      <c r="E243" s="14"/>
      <c r="F243" s="15"/>
      <c r="G243" s="16"/>
    </row>
    <row r="244" spans="1:7" x14ac:dyDescent="0.3">
      <c r="A244" s="3"/>
      <c r="E244" s="17"/>
      <c r="F244" s="1"/>
      <c r="G244" s="18"/>
    </row>
    <row r="245" spans="1:7" x14ac:dyDescent="0.3">
      <c r="A245" s="3" t="s">
        <v>195</v>
      </c>
    </row>
    <row r="246" spans="1:7" x14ac:dyDescent="0.3">
      <c r="A246" t="s">
        <v>196</v>
      </c>
      <c r="B246" s="1">
        <v>150</v>
      </c>
      <c r="D246" s="9" t="s">
        <v>197</v>
      </c>
      <c r="E246" s="42" t="s">
        <v>198</v>
      </c>
      <c r="F246" s="9">
        <v>150</v>
      </c>
      <c r="G246" s="32">
        <v>82</v>
      </c>
    </row>
    <row r="247" spans="1:7" x14ac:dyDescent="0.3">
      <c r="A247" t="s">
        <v>44</v>
      </c>
      <c r="B247" s="1">
        <v>10</v>
      </c>
      <c r="D247" s="9" t="s">
        <v>45</v>
      </c>
      <c r="E247" s="42" t="s">
        <v>46</v>
      </c>
      <c r="F247" s="9">
        <v>10</v>
      </c>
      <c r="G247" s="32">
        <v>899</v>
      </c>
    </row>
    <row r="248" spans="1:7" x14ac:dyDescent="0.3">
      <c r="A248" t="s">
        <v>183</v>
      </c>
      <c r="B248" s="1">
        <v>10</v>
      </c>
      <c r="D248" s="9" t="s">
        <v>184</v>
      </c>
      <c r="E248" s="42" t="s">
        <v>185</v>
      </c>
      <c r="F248" s="9">
        <v>10</v>
      </c>
      <c r="G248" s="32">
        <v>15</v>
      </c>
    </row>
    <row r="249" spans="1:7" x14ac:dyDescent="0.3">
      <c r="A249" t="s">
        <v>105</v>
      </c>
      <c r="B249" s="1">
        <v>4</v>
      </c>
      <c r="D249" s="9" t="s">
        <v>106</v>
      </c>
      <c r="E249" s="42" t="s">
        <v>107</v>
      </c>
      <c r="F249" s="9">
        <v>4</v>
      </c>
      <c r="G249" s="32">
        <v>30</v>
      </c>
    </row>
    <row r="250" spans="1:7" x14ac:dyDescent="0.3">
      <c r="A250" t="s">
        <v>24</v>
      </c>
      <c r="B250" s="1">
        <v>0.3</v>
      </c>
      <c r="D250" s="9" t="s">
        <v>25</v>
      </c>
      <c r="E250" s="42" t="s">
        <v>26</v>
      </c>
      <c r="F250" s="9">
        <v>0.3</v>
      </c>
      <c r="G250" s="32">
        <v>0</v>
      </c>
    </row>
    <row r="251" spans="1:7" x14ac:dyDescent="0.3">
      <c r="A251" t="s">
        <v>71</v>
      </c>
      <c r="B251" s="1">
        <v>0.1</v>
      </c>
      <c r="D251" s="9" t="s">
        <v>72</v>
      </c>
      <c r="E251" s="42" t="s">
        <v>73</v>
      </c>
      <c r="F251" s="9">
        <v>0.1</v>
      </c>
      <c r="G251" s="32">
        <v>270</v>
      </c>
    </row>
    <row r="252" spans="1:7" x14ac:dyDescent="0.3">
      <c r="A252" s="3" t="s">
        <v>10</v>
      </c>
      <c r="B252" s="1">
        <v>174.4</v>
      </c>
      <c r="E252" s="10" t="s">
        <v>11</v>
      </c>
      <c r="F252" s="48">
        <f>SUM(F246:F251)</f>
        <v>174.4</v>
      </c>
      <c r="G252" s="48">
        <f>($F$246*G246+$F$247*G247+$F$248*G248+$F$249*G249+$F$250*G250+$F$251*G251)/$F252</f>
        <v>123.77866972477064</v>
      </c>
    </row>
    <row r="253" spans="1:7" x14ac:dyDescent="0.3">
      <c r="A253" s="3" t="s">
        <v>12</v>
      </c>
      <c r="B253" s="1" t="s">
        <v>13</v>
      </c>
      <c r="E253" s="14"/>
      <c r="F253" s="15"/>
      <c r="G253" s="16"/>
    </row>
    <row r="254" spans="1:7" x14ac:dyDescent="0.3">
      <c r="A254" s="3"/>
      <c r="E254" s="17"/>
      <c r="F254" s="1"/>
      <c r="G254" s="18"/>
    </row>
    <row r="255" spans="1:7" x14ac:dyDescent="0.3">
      <c r="A255" s="3" t="s">
        <v>199</v>
      </c>
    </row>
    <row r="256" spans="1:7" x14ac:dyDescent="0.3">
      <c r="A256" t="s">
        <v>200</v>
      </c>
      <c r="B256" s="1">
        <v>200</v>
      </c>
      <c r="D256" s="9" t="s">
        <v>201</v>
      </c>
      <c r="E256" s="42" t="s">
        <v>202</v>
      </c>
      <c r="F256" s="9">
        <v>200</v>
      </c>
      <c r="G256" s="32">
        <v>30</v>
      </c>
    </row>
    <row r="257" spans="1:7" x14ac:dyDescent="0.3">
      <c r="A257" t="s">
        <v>44</v>
      </c>
      <c r="B257" s="1">
        <v>10</v>
      </c>
      <c r="D257" s="9" t="s">
        <v>45</v>
      </c>
      <c r="E257" s="42" t="s">
        <v>46</v>
      </c>
      <c r="F257" s="9">
        <v>10</v>
      </c>
      <c r="G257" s="32">
        <v>899</v>
      </c>
    </row>
    <row r="258" spans="1:7" x14ac:dyDescent="0.3">
      <c r="A258" t="s">
        <v>24</v>
      </c>
      <c r="B258" s="1">
        <v>0.3</v>
      </c>
      <c r="D258" s="9" t="s">
        <v>25</v>
      </c>
      <c r="E258" s="42" t="s">
        <v>26</v>
      </c>
      <c r="F258" s="9">
        <v>0.3</v>
      </c>
      <c r="G258" s="32">
        <v>0</v>
      </c>
    </row>
    <row r="259" spans="1:7" x14ac:dyDescent="0.3">
      <c r="A259" s="3" t="s">
        <v>10</v>
      </c>
      <c r="B259" s="1">
        <v>210.3</v>
      </c>
      <c r="E259" s="10" t="s">
        <v>11</v>
      </c>
      <c r="F259" s="48">
        <f>SUM(F256:F258)</f>
        <v>210.3</v>
      </c>
      <c r="G259" s="48">
        <f>($F$256*G256+$F$257*G257+$F$258*G258)/$F259</f>
        <v>71.279125059438897</v>
      </c>
    </row>
    <row r="260" spans="1:7" x14ac:dyDescent="0.3">
      <c r="A260" s="3" t="s">
        <v>12</v>
      </c>
      <c r="B260" s="1" t="s">
        <v>13</v>
      </c>
      <c r="E260" s="14"/>
      <c r="F260" s="15"/>
      <c r="G260" s="16"/>
    </row>
    <row r="261" spans="1:7" x14ac:dyDescent="0.3">
      <c r="A261" s="3"/>
      <c r="E261" s="17"/>
      <c r="F261" s="1"/>
      <c r="G261" s="18"/>
    </row>
    <row r="262" spans="1:7" x14ac:dyDescent="0.3">
      <c r="A262" s="3" t="s">
        <v>203</v>
      </c>
    </row>
    <row r="263" spans="1:7" x14ac:dyDescent="0.3">
      <c r="A263" t="s">
        <v>204</v>
      </c>
      <c r="B263" s="1">
        <v>200</v>
      </c>
      <c r="D263" s="9" t="s">
        <v>205</v>
      </c>
      <c r="E263" s="42" t="s">
        <v>206</v>
      </c>
      <c r="F263" s="9">
        <v>200</v>
      </c>
      <c r="G263" s="32">
        <v>48</v>
      </c>
    </row>
    <row r="264" spans="1:7" x14ac:dyDescent="0.3">
      <c r="A264" t="s">
        <v>24</v>
      </c>
      <c r="B264" s="1">
        <v>0.3</v>
      </c>
      <c r="D264" s="9" t="s">
        <v>25</v>
      </c>
      <c r="E264" s="42" t="s">
        <v>26</v>
      </c>
      <c r="F264" s="9">
        <v>0.3</v>
      </c>
      <c r="G264" s="32">
        <v>0</v>
      </c>
    </row>
    <row r="265" spans="1:7" x14ac:dyDescent="0.3">
      <c r="A265" t="s">
        <v>44</v>
      </c>
      <c r="B265" s="1">
        <v>10</v>
      </c>
      <c r="D265" s="9" t="s">
        <v>45</v>
      </c>
      <c r="E265" s="42" t="s">
        <v>46</v>
      </c>
      <c r="F265" s="9">
        <v>10</v>
      </c>
      <c r="G265" s="32">
        <v>899</v>
      </c>
    </row>
    <row r="266" spans="1:7" x14ac:dyDescent="0.3">
      <c r="A266" s="3" t="s">
        <v>10</v>
      </c>
      <c r="B266" s="1">
        <v>210.3</v>
      </c>
      <c r="E266" s="10" t="s">
        <v>11</v>
      </c>
      <c r="F266" s="48">
        <f>SUM(F263:F265)</f>
        <v>210.3</v>
      </c>
      <c r="G266" s="48">
        <f>($F$263*G263+$F$264*G264+$F$265*G265)/$F266</f>
        <v>88.397527341892527</v>
      </c>
    </row>
    <row r="267" spans="1:7" x14ac:dyDescent="0.3">
      <c r="A267" s="3" t="s">
        <v>12</v>
      </c>
      <c r="B267" s="1" t="s">
        <v>13</v>
      </c>
      <c r="E267" s="14"/>
      <c r="F267" s="15"/>
      <c r="G267" s="16"/>
    </row>
    <row r="268" spans="1:7" x14ac:dyDescent="0.3">
      <c r="A268" s="3"/>
      <c r="E268" s="17"/>
      <c r="F268" s="1"/>
      <c r="G268" s="18"/>
    </row>
    <row r="269" spans="1:7" x14ac:dyDescent="0.3">
      <c r="A269" s="3" t="s">
        <v>207</v>
      </c>
    </row>
    <row r="270" spans="1:7" x14ac:dyDescent="0.3">
      <c r="A270" t="s">
        <v>873</v>
      </c>
      <c r="B270" s="1">
        <v>80</v>
      </c>
      <c r="D270" s="9" t="s">
        <v>208</v>
      </c>
      <c r="E270" s="42" t="s">
        <v>872</v>
      </c>
      <c r="F270" s="9">
        <v>80</v>
      </c>
      <c r="G270" s="32">
        <v>22</v>
      </c>
    </row>
    <row r="271" spans="1:7" x14ac:dyDescent="0.3">
      <c r="A271" t="s">
        <v>44</v>
      </c>
      <c r="B271" s="1">
        <v>10</v>
      </c>
      <c r="D271" s="9" t="s">
        <v>45</v>
      </c>
      <c r="E271" s="42" t="s">
        <v>46</v>
      </c>
      <c r="F271" s="9">
        <v>10</v>
      </c>
      <c r="G271" s="32">
        <v>899</v>
      </c>
    </row>
    <row r="272" spans="1:7" x14ac:dyDescent="0.3">
      <c r="A272" t="s">
        <v>21</v>
      </c>
      <c r="B272" s="1">
        <v>5</v>
      </c>
      <c r="D272" s="9" t="s">
        <v>22</v>
      </c>
      <c r="E272" s="42" t="s">
        <v>23</v>
      </c>
      <c r="F272" s="9">
        <v>5</v>
      </c>
      <c r="G272" s="32">
        <v>4</v>
      </c>
    </row>
    <row r="273" spans="1:7" x14ac:dyDescent="0.3">
      <c r="A273" t="s">
        <v>24</v>
      </c>
      <c r="B273" s="1">
        <v>0.3</v>
      </c>
      <c r="D273" s="9" t="s">
        <v>25</v>
      </c>
      <c r="E273" s="42" t="s">
        <v>26</v>
      </c>
      <c r="F273" s="9">
        <v>0.3</v>
      </c>
      <c r="G273" s="32">
        <v>0</v>
      </c>
    </row>
    <row r="274" spans="1:7" x14ac:dyDescent="0.3">
      <c r="A274" t="s">
        <v>71</v>
      </c>
      <c r="B274" s="1">
        <v>0.1</v>
      </c>
      <c r="D274" s="9" t="s">
        <v>72</v>
      </c>
      <c r="E274" s="42" t="s">
        <v>73</v>
      </c>
      <c r="F274" s="9">
        <v>0.1</v>
      </c>
      <c r="G274" s="32">
        <v>270</v>
      </c>
    </row>
    <row r="275" spans="1:7" x14ac:dyDescent="0.3">
      <c r="A275" s="3" t="s">
        <v>10</v>
      </c>
      <c r="B275" s="1">
        <v>95.4</v>
      </c>
      <c r="E275" s="10" t="s">
        <v>11</v>
      </c>
      <c r="F275" s="48">
        <f>SUM(F270:F274)</f>
        <v>95.399999999999991</v>
      </c>
      <c r="G275" s="48">
        <f>($F270*G270+$F271*G271+$F272*G272+$F273*G273+$F274*G274)/$F275</f>
        <v>113.17610062893083</v>
      </c>
    </row>
    <row r="276" spans="1:7" x14ac:dyDescent="0.3">
      <c r="A276" s="3" t="s">
        <v>12</v>
      </c>
      <c r="B276" s="1" t="s">
        <v>13</v>
      </c>
      <c r="E276" s="14"/>
      <c r="F276" s="15"/>
      <c r="G276" s="16"/>
    </row>
    <row r="277" spans="1:7" x14ac:dyDescent="0.3">
      <c r="A277" s="3"/>
      <c r="E277" s="17"/>
      <c r="F277" s="1"/>
      <c r="G277" s="18"/>
    </row>
    <row r="278" spans="1:7" x14ac:dyDescent="0.3">
      <c r="A278" s="3" t="s">
        <v>209</v>
      </c>
    </row>
    <row r="279" spans="1:7" x14ac:dyDescent="0.3">
      <c r="A279" t="s">
        <v>210</v>
      </c>
      <c r="B279" s="1">
        <v>50</v>
      </c>
      <c r="D279" s="9" t="s">
        <v>211</v>
      </c>
      <c r="E279" s="8" t="s">
        <v>212</v>
      </c>
      <c r="F279" s="8">
        <v>50</v>
      </c>
      <c r="G279" s="32">
        <v>363</v>
      </c>
    </row>
    <row r="280" spans="1:7" x14ac:dyDescent="0.3">
      <c r="A280" t="s">
        <v>825</v>
      </c>
      <c r="B280" s="1">
        <v>70</v>
      </c>
      <c r="D280" s="65" t="s">
        <v>213</v>
      </c>
      <c r="E280" s="8" t="s">
        <v>825</v>
      </c>
      <c r="F280" s="9">
        <v>60</v>
      </c>
      <c r="G280" s="37">
        <v>100</v>
      </c>
    </row>
    <row r="281" spans="1:7" x14ac:dyDescent="0.3">
      <c r="A281" t="s">
        <v>44</v>
      </c>
      <c r="B281" s="1">
        <v>10</v>
      </c>
      <c r="D281" s="9" t="s">
        <v>45</v>
      </c>
      <c r="E281" s="8" t="s">
        <v>46</v>
      </c>
      <c r="F281" s="8">
        <v>10</v>
      </c>
      <c r="G281" s="32">
        <v>899</v>
      </c>
    </row>
    <row r="282" spans="1:7" x14ac:dyDescent="0.3">
      <c r="A282" t="s">
        <v>126</v>
      </c>
      <c r="B282" s="1">
        <v>17</v>
      </c>
      <c r="D282" s="9" t="s">
        <v>127</v>
      </c>
      <c r="E282" s="8" t="s">
        <v>128</v>
      </c>
      <c r="F282" s="8">
        <v>17</v>
      </c>
      <c r="G282" s="32">
        <v>28</v>
      </c>
    </row>
    <row r="283" spans="1:7" x14ac:dyDescent="0.3">
      <c r="A283" t="s">
        <v>105</v>
      </c>
      <c r="B283" s="1">
        <v>3</v>
      </c>
      <c r="D283" s="9" t="s">
        <v>106</v>
      </c>
      <c r="E283" s="8" t="s">
        <v>107</v>
      </c>
      <c r="F283" s="8">
        <v>3</v>
      </c>
      <c r="G283" s="32">
        <v>30</v>
      </c>
    </row>
    <row r="284" spans="1:7" x14ac:dyDescent="0.3">
      <c r="A284" t="s">
        <v>24</v>
      </c>
      <c r="B284" s="1">
        <v>0.3</v>
      </c>
      <c r="D284" s="9" t="s">
        <v>25</v>
      </c>
      <c r="E284" s="8" t="s">
        <v>26</v>
      </c>
      <c r="F284" s="8">
        <v>0.3</v>
      </c>
      <c r="G284" s="32">
        <v>0</v>
      </c>
    </row>
    <row r="285" spans="1:7" x14ac:dyDescent="0.3">
      <c r="A285" t="s">
        <v>71</v>
      </c>
      <c r="B285" s="1">
        <v>0.1</v>
      </c>
      <c r="D285" s="9" t="s">
        <v>72</v>
      </c>
      <c r="E285" s="8" t="s">
        <v>73</v>
      </c>
      <c r="F285" s="8">
        <v>0.1</v>
      </c>
      <c r="G285" s="32">
        <v>270</v>
      </c>
    </row>
    <row r="286" spans="1:7" x14ac:dyDescent="0.3">
      <c r="A286" s="3" t="s">
        <v>10</v>
      </c>
      <c r="B286" s="1">
        <v>150.4</v>
      </c>
      <c r="E286" s="10" t="s">
        <v>11</v>
      </c>
      <c r="F286" s="48">
        <f>SUM(F279:F285)</f>
        <v>140.4</v>
      </c>
      <c r="G286" s="48">
        <f>($F$279*G279+$F$280*G280+$F$281*G281+$F$282*G282+$F$283*G283+$F$284*G284+$F$285*G285)/$F286</f>
        <v>240.26353276353277</v>
      </c>
    </row>
    <row r="287" spans="1:7" x14ac:dyDescent="0.3">
      <c r="A287" s="3" t="s">
        <v>12</v>
      </c>
      <c r="B287" s="1" t="s">
        <v>13</v>
      </c>
      <c r="E287" s="14"/>
      <c r="F287" s="15"/>
      <c r="G287" s="16"/>
    </row>
    <row r="288" spans="1:7" x14ac:dyDescent="0.3">
      <c r="A288" s="3"/>
      <c r="E288" s="17"/>
      <c r="F288" s="1"/>
      <c r="G288" s="18"/>
    </row>
    <row r="289" spans="1:7" x14ac:dyDescent="0.3">
      <c r="A289" s="3" t="s">
        <v>214</v>
      </c>
    </row>
    <row r="290" spans="1:7" x14ac:dyDescent="0.3">
      <c r="A290" t="s">
        <v>215</v>
      </c>
      <c r="B290" s="1">
        <v>200</v>
      </c>
      <c r="D290" s="9" t="s">
        <v>216</v>
      </c>
      <c r="E290" s="42" t="s">
        <v>217</v>
      </c>
      <c r="F290" s="8">
        <v>200</v>
      </c>
      <c r="G290" s="32">
        <v>30</v>
      </c>
    </row>
    <row r="291" spans="1:7" x14ac:dyDescent="0.3">
      <c r="A291" t="s">
        <v>44</v>
      </c>
      <c r="B291" s="1">
        <v>10</v>
      </c>
      <c r="D291" s="9" t="s">
        <v>45</v>
      </c>
      <c r="E291" s="42" t="s">
        <v>46</v>
      </c>
      <c r="F291" s="8">
        <v>10</v>
      </c>
      <c r="G291" s="32">
        <v>899</v>
      </c>
    </row>
    <row r="292" spans="1:7" x14ac:dyDescent="0.3">
      <c r="A292" t="s">
        <v>71</v>
      </c>
      <c r="B292" s="1">
        <v>0.1</v>
      </c>
      <c r="D292" s="9" t="s">
        <v>72</v>
      </c>
      <c r="E292" s="8" t="s">
        <v>73</v>
      </c>
      <c r="F292" s="8">
        <v>0.1</v>
      </c>
      <c r="G292" s="32">
        <v>270</v>
      </c>
    </row>
    <row r="293" spans="1:7" x14ac:dyDescent="0.3">
      <c r="A293" t="s">
        <v>24</v>
      </c>
      <c r="B293" s="1">
        <v>0.3</v>
      </c>
      <c r="D293" s="9" t="s">
        <v>25</v>
      </c>
      <c r="E293" s="8" t="s">
        <v>26</v>
      </c>
      <c r="F293" s="8">
        <v>0.3</v>
      </c>
      <c r="G293" s="32">
        <v>0</v>
      </c>
    </row>
    <row r="294" spans="1:7" x14ac:dyDescent="0.3">
      <c r="A294" s="3" t="s">
        <v>10</v>
      </c>
      <c r="B294" s="1">
        <v>210.4</v>
      </c>
      <c r="E294" s="10" t="s">
        <v>11</v>
      </c>
      <c r="F294" s="48">
        <f>SUM(F290:F293)</f>
        <v>210.4</v>
      </c>
      <c r="G294" s="48">
        <f>($F$290*G290+$F$291*G291+$F$292*G292+$F$293*G293)/$F294</f>
        <v>71.373574144486696</v>
      </c>
    </row>
    <row r="295" spans="1:7" x14ac:dyDescent="0.3">
      <c r="A295" s="3" t="s">
        <v>12</v>
      </c>
      <c r="B295" s="1" t="s">
        <v>13</v>
      </c>
      <c r="E295" s="14"/>
      <c r="F295" s="15"/>
      <c r="G295" s="16"/>
    </row>
    <row r="296" spans="1:7" x14ac:dyDescent="0.3">
      <c r="A296" s="3"/>
      <c r="E296" s="17"/>
      <c r="F296" s="1"/>
      <c r="G296" s="18"/>
    </row>
    <row r="297" spans="1:7" x14ac:dyDescent="0.3">
      <c r="A297" s="3"/>
    </row>
    <row r="298" spans="1:7" x14ac:dyDescent="0.3">
      <c r="A298" t="s">
        <v>218</v>
      </c>
      <c r="B298" s="1">
        <v>200</v>
      </c>
      <c r="D298" s="9" t="s">
        <v>219</v>
      </c>
      <c r="E298" s="42" t="s">
        <v>220</v>
      </c>
      <c r="F298" s="9">
        <v>200</v>
      </c>
      <c r="G298" s="32">
        <v>28</v>
      </c>
    </row>
    <row r="299" spans="1:7" x14ac:dyDescent="0.3">
      <c r="A299" t="s">
        <v>44</v>
      </c>
      <c r="B299" s="1">
        <v>10</v>
      </c>
      <c r="D299" s="9" t="s">
        <v>45</v>
      </c>
      <c r="E299" s="42" t="s">
        <v>46</v>
      </c>
      <c r="F299" s="9">
        <v>10</v>
      </c>
      <c r="G299" s="32">
        <v>899</v>
      </c>
    </row>
    <row r="300" spans="1:7" x14ac:dyDescent="0.3">
      <c r="A300" t="s">
        <v>24</v>
      </c>
      <c r="B300" s="1">
        <v>0.3</v>
      </c>
      <c r="D300" s="9" t="s">
        <v>25</v>
      </c>
      <c r="E300" s="42" t="s">
        <v>26</v>
      </c>
      <c r="F300" s="9">
        <v>0.3</v>
      </c>
      <c r="G300" s="32">
        <v>0</v>
      </c>
    </row>
    <row r="301" spans="1:7" x14ac:dyDescent="0.3">
      <c r="A301" s="3" t="s">
        <v>10</v>
      </c>
      <c r="B301" s="1">
        <v>210.3</v>
      </c>
      <c r="E301" s="10" t="s">
        <v>11</v>
      </c>
      <c r="F301" s="55">
        <f>SUM(F298:F300)</f>
        <v>210.3</v>
      </c>
      <c r="G301" s="48">
        <f>($F$298*G298+$F$299*G299+$F$300*G300)/$F301</f>
        <v>69.377080361388494</v>
      </c>
    </row>
    <row r="302" spans="1:7" x14ac:dyDescent="0.3">
      <c r="A302" s="3" t="s">
        <v>12</v>
      </c>
      <c r="B302" s="1" t="s">
        <v>13</v>
      </c>
      <c r="E302" s="14"/>
      <c r="F302" s="15"/>
      <c r="G302" s="16"/>
    </row>
    <row r="303" spans="1:7" x14ac:dyDescent="0.3">
      <c r="A303" s="3"/>
      <c r="E303" s="17"/>
      <c r="F303" s="1"/>
      <c r="G303" s="18"/>
    </row>
    <row r="304" spans="1:7" x14ac:dyDescent="0.3">
      <c r="A304" s="3" t="s">
        <v>221</v>
      </c>
    </row>
    <row r="305" spans="1:7" x14ac:dyDescent="0.3">
      <c r="A305" t="s">
        <v>69</v>
      </c>
      <c r="B305" s="1">
        <v>125</v>
      </c>
      <c r="D305" s="9" t="s">
        <v>70</v>
      </c>
      <c r="E305" s="42" t="s">
        <v>850</v>
      </c>
      <c r="F305" s="9">
        <v>125</v>
      </c>
      <c r="G305" s="32">
        <v>64</v>
      </c>
    </row>
    <row r="306" spans="1:7" x14ac:dyDescent="0.3">
      <c r="A306" t="s">
        <v>162</v>
      </c>
      <c r="B306" s="1">
        <v>7</v>
      </c>
      <c r="D306" s="9" t="s">
        <v>163</v>
      </c>
      <c r="E306" s="42" t="s">
        <v>164</v>
      </c>
      <c r="F306" s="9">
        <v>7</v>
      </c>
      <c r="G306" s="32">
        <v>411</v>
      </c>
    </row>
    <row r="307" spans="1:7" x14ac:dyDescent="0.3">
      <c r="A307" t="s">
        <v>222</v>
      </c>
      <c r="B307" s="1">
        <v>4</v>
      </c>
      <c r="D307" s="9" t="s">
        <v>223</v>
      </c>
      <c r="E307" s="42" t="s">
        <v>224</v>
      </c>
      <c r="F307" s="9">
        <v>4</v>
      </c>
      <c r="G307" s="32">
        <v>349</v>
      </c>
    </row>
    <row r="308" spans="1:7" x14ac:dyDescent="0.3">
      <c r="A308" t="s">
        <v>56</v>
      </c>
      <c r="B308" s="1">
        <v>7</v>
      </c>
      <c r="D308" s="9" t="s">
        <v>57</v>
      </c>
      <c r="E308" s="42" t="s">
        <v>58</v>
      </c>
      <c r="F308" s="9">
        <v>7</v>
      </c>
      <c r="G308" s="32">
        <v>392</v>
      </c>
    </row>
    <row r="309" spans="1:7" x14ac:dyDescent="0.3">
      <c r="A309" s="3" t="s">
        <v>10</v>
      </c>
      <c r="B309" s="1">
        <v>143</v>
      </c>
      <c r="E309" s="10" t="s">
        <v>11</v>
      </c>
      <c r="F309" s="48">
        <f>SUM(F305:F308)</f>
        <v>143</v>
      </c>
      <c r="G309" s="48">
        <f>($F305*G305+$F306*G306+$F307*G307+$F308*G308)/$F309</f>
        <v>105.01398601398601</v>
      </c>
    </row>
    <row r="310" spans="1:7" x14ac:dyDescent="0.3">
      <c r="A310" s="3" t="s">
        <v>12</v>
      </c>
      <c r="B310" s="1" t="s">
        <v>13</v>
      </c>
      <c r="E310" s="14"/>
      <c r="F310" s="15"/>
      <c r="G310" s="16"/>
    </row>
    <row r="311" spans="1:7" x14ac:dyDescent="0.3">
      <c r="A311" s="3"/>
      <c r="E311" s="17"/>
      <c r="F311" s="1"/>
      <c r="G311" s="18"/>
    </row>
    <row r="312" spans="1:7" x14ac:dyDescent="0.3">
      <c r="A312" s="3" t="s">
        <v>225</v>
      </c>
    </row>
    <row r="313" spans="1:7" x14ac:dyDescent="0.3">
      <c r="A313" t="s">
        <v>126</v>
      </c>
      <c r="B313" s="1">
        <v>200</v>
      </c>
      <c r="D313" s="9" t="s">
        <v>127</v>
      </c>
      <c r="E313" s="8" t="s">
        <v>128</v>
      </c>
      <c r="F313" s="8">
        <v>200</v>
      </c>
      <c r="G313" s="32">
        <v>28</v>
      </c>
    </row>
    <row r="314" spans="1:7" x14ac:dyDescent="0.3">
      <c r="A314" t="s">
        <v>44</v>
      </c>
      <c r="B314" s="1">
        <v>10</v>
      </c>
      <c r="D314" s="9" t="s">
        <v>45</v>
      </c>
      <c r="E314" s="8" t="s">
        <v>46</v>
      </c>
      <c r="F314" s="8">
        <v>10</v>
      </c>
      <c r="G314" s="32">
        <v>899</v>
      </c>
    </row>
    <row r="315" spans="1:7" x14ac:dyDescent="0.3">
      <c r="A315" t="s">
        <v>24</v>
      </c>
      <c r="B315" s="1">
        <v>0.3</v>
      </c>
      <c r="D315" s="9" t="s">
        <v>25</v>
      </c>
      <c r="E315" s="42" t="s">
        <v>26</v>
      </c>
      <c r="F315" s="9">
        <v>0.3</v>
      </c>
      <c r="G315" s="32">
        <v>0</v>
      </c>
    </row>
    <row r="316" spans="1:7" x14ac:dyDescent="0.3">
      <c r="A316" t="s">
        <v>71</v>
      </c>
      <c r="B316" s="1">
        <v>0.1</v>
      </c>
      <c r="D316" s="9" t="s">
        <v>72</v>
      </c>
      <c r="E316" s="8" t="s">
        <v>73</v>
      </c>
      <c r="F316" s="8">
        <v>0.1</v>
      </c>
      <c r="G316" s="32">
        <v>270</v>
      </c>
    </row>
    <row r="317" spans="1:7" x14ac:dyDescent="0.3">
      <c r="A317" t="s">
        <v>98</v>
      </c>
      <c r="B317" s="1">
        <v>1</v>
      </c>
      <c r="D317" s="9" t="s">
        <v>99</v>
      </c>
      <c r="E317" s="8" t="s">
        <v>100</v>
      </c>
      <c r="F317" s="8">
        <v>1</v>
      </c>
      <c r="G317" s="32">
        <v>88</v>
      </c>
    </row>
    <row r="318" spans="1:7" x14ac:dyDescent="0.3">
      <c r="A318" s="3" t="s">
        <v>10</v>
      </c>
      <c r="B318" s="1">
        <v>211.4</v>
      </c>
      <c r="E318" s="10" t="s">
        <v>11</v>
      </c>
      <c r="F318" s="48">
        <f>SUM(F313:F317)</f>
        <v>211.4</v>
      </c>
      <c r="G318" s="48">
        <f>($F314*G314+$F315*G315+$F316*G316+$F317*G317+$F313*G313)/$F318</f>
        <v>69.560075685903499</v>
      </c>
    </row>
    <row r="319" spans="1:7" x14ac:dyDescent="0.3">
      <c r="A319" s="3" t="s">
        <v>12</v>
      </c>
      <c r="B319" s="1" t="s">
        <v>13</v>
      </c>
      <c r="E319" s="14"/>
      <c r="F319" s="15"/>
      <c r="G319" s="16"/>
    </row>
    <row r="320" spans="1:7" x14ac:dyDescent="0.3">
      <c r="E320" s="17"/>
      <c r="F320" s="1"/>
      <c r="G320" s="18"/>
    </row>
    <row r="321" spans="1:7" x14ac:dyDescent="0.3">
      <c r="A321" s="3" t="s">
        <v>226</v>
      </c>
    </row>
    <row r="322" spans="1:7" x14ac:dyDescent="0.3">
      <c r="A322" t="s">
        <v>126</v>
      </c>
      <c r="B322" s="1">
        <v>200</v>
      </c>
      <c r="D322" s="9" t="s">
        <v>127</v>
      </c>
      <c r="E322" s="8" t="s">
        <v>128</v>
      </c>
      <c r="F322" s="8">
        <v>200</v>
      </c>
      <c r="G322" s="32">
        <v>28</v>
      </c>
    </row>
    <row r="323" spans="1:7" x14ac:dyDescent="0.3">
      <c r="A323" t="s">
        <v>105</v>
      </c>
      <c r="B323" s="1">
        <v>3</v>
      </c>
      <c r="D323" s="9" t="s">
        <v>106</v>
      </c>
      <c r="E323" s="8" t="s">
        <v>107</v>
      </c>
      <c r="F323" s="8">
        <v>3</v>
      </c>
      <c r="G323" s="32">
        <v>30</v>
      </c>
    </row>
    <row r="324" spans="1:7" x14ac:dyDescent="0.3">
      <c r="A324" t="s">
        <v>44</v>
      </c>
      <c r="B324" s="1">
        <v>10</v>
      </c>
      <c r="D324" s="9" t="s">
        <v>45</v>
      </c>
      <c r="E324" s="8" t="s">
        <v>46</v>
      </c>
      <c r="F324" s="8">
        <v>10</v>
      </c>
      <c r="G324" s="32">
        <v>899</v>
      </c>
    </row>
    <row r="325" spans="1:7" x14ac:dyDescent="0.3">
      <c r="A325" t="s">
        <v>24</v>
      </c>
      <c r="B325" s="1">
        <v>0.3</v>
      </c>
      <c r="D325" s="9" t="s">
        <v>25</v>
      </c>
      <c r="E325" s="42" t="s">
        <v>26</v>
      </c>
      <c r="F325" s="9">
        <v>0.3</v>
      </c>
      <c r="G325" s="32">
        <v>0</v>
      </c>
    </row>
    <row r="326" spans="1:7" x14ac:dyDescent="0.3">
      <c r="A326" t="s">
        <v>71</v>
      </c>
      <c r="B326" s="1">
        <v>0.1</v>
      </c>
      <c r="D326" s="9" t="s">
        <v>72</v>
      </c>
      <c r="E326" s="8" t="s">
        <v>73</v>
      </c>
      <c r="F326" s="8">
        <v>0.1</v>
      </c>
      <c r="G326" s="32">
        <v>270</v>
      </c>
    </row>
    <row r="327" spans="1:7" x14ac:dyDescent="0.3">
      <c r="A327" s="3" t="s">
        <v>10</v>
      </c>
      <c r="B327" s="1">
        <v>213.4</v>
      </c>
      <c r="E327" s="10" t="s">
        <v>11</v>
      </c>
      <c r="F327" s="48">
        <f>SUM(F322:F326)</f>
        <v>213.4</v>
      </c>
      <c r="G327" s="48">
        <f>($F323*G323+$F324*G324+$F325*G325+$F326*G326+$F322*G322)/$F327</f>
        <v>68.917525773195877</v>
      </c>
    </row>
    <row r="328" spans="1:7" x14ac:dyDescent="0.3">
      <c r="A328" s="3" t="s">
        <v>12</v>
      </c>
      <c r="B328" s="1" t="s">
        <v>13</v>
      </c>
      <c r="E328" s="14"/>
      <c r="F328" s="15"/>
      <c r="G328" s="16"/>
    </row>
    <row r="329" spans="1:7" x14ac:dyDescent="0.3">
      <c r="E329" s="17"/>
      <c r="F329" s="1"/>
      <c r="G329" s="18"/>
    </row>
    <row r="330" spans="1:7" x14ac:dyDescent="0.3">
      <c r="A330" s="3" t="s">
        <v>227</v>
      </c>
    </row>
    <row r="331" spans="1:7" x14ac:dyDescent="0.3">
      <c r="A331" t="s">
        <v>228</v>
      </c>
      <c r="B331" s="1">
        <v>100</v>
      </c>
      <c r="D331" s="9" t="s">
        <v>229</v>
      </c>
      <c r="E331" s="8" t="s">
        <v>230</v>
      </c>
      <c r="F331" s="8">
        <v>100</v>
      </c>
      <c r="G331" s="32">
        <v>138</v>
      </c>
    </row>
    <row r="332" spans="1:7" x14ac:dyDescent="0.3">
      <c r="A332" t="s">
        <v>44</v>
      </c>
      <c r="B332" s="1">
        <v>10</v>
      </c>
      <c r="D332" s="9" t="s">
        <v>45</v>
      </c>
      <c r="E332" s="8" t="s">
        <v>46</v>
      </c>
      <c r="F332" s="8">
        <v>10</v>
      </c>
      <c r="G332" s="32">
        <v>899</v>
      </c>
    </row>
    <row r="333" spans="1:7" x14ac:dyDescent="0.3">
      <c r="A333" t="s">
        <v>231</v>
      </c>
      <c r="B333" s="1">
        <v>5</v>
      </c>
      <c r="D333" s="9" t="s">
        <v>232</v>
      </c>
      <c r="E333" s="8" t="s">
        <v>233</v>
      </c>
      <c r="F333" s="8">
        <v>5</v>
      </c>
      <c r="G333" s="32">
        <v>661</v>
      </c>
    </row>
    <row r="334" spans="1:7" x14ac:dyDescent="0.3">
      <c r="A334" t="s">
        <v>47</v>
      </c>
      <c r="B334" s="1">
        <v>2</v>
      </c>
      <c r="D334" s="9" t="s">
        <v>48</v>
      </c>
      <c r="E334" s="42" t="s">
        <v>49</v>
      </c>
      <c r="F334" s="9">
        <v>2</v>
      </c>
      <c r="G334" s="32">
        <v>111</v>
      </c>
    </row>
    <row r="335" spans="1:7" x14ac:dyDescent="0.3">
      <c r="A335" t="s">
        <v>24</v>
      </c>
      <c r="B335" s="1">
        <v>0.3</v>
      </c>
      <c r="D335" s="9" t="s">
        <v>25</v>
      </c>
      <c r="E335" s="42" t="s">
        <v>26</v>
      </c>
      <c r="F335" s="9">
        <v>0.3</v>
      </c>
      <c r="G335" s="32">
        <v>0</v>
      </c>
    </row>
    <row r="336" spans="1:7" x14ac:dyDescent="0.3">
      <c r="A336" t="s">
        <v>71</v>
      </c>
      <c r="B336" s="1">
        <v>0.1</v>
      </c>
      <c r="D336" s="9" t="s">
        <v>72</v>
      </c>
      <c r="E336" s="8" t="s">
        <v>73</v>
      </c>
      <c r="F336" s="8">
        <v>0.1</v>
      </c>
      <c r="G336" s="32">
        <v>270</v>
      </c>
    </row>
    <row r="337" spans="1:7" x14ac:dyDescent="0.3">
      <c r="A337" s="3" t="s">
        <v>10</v>
      </c>
      <c r="B337" s="1">
        <v>117.4</v>
      </c>
      <c r="E337" s="10" t="s">
        <v>11</v>
      </c>
      <c r="F337" s="48">
        <f>SUM(F331:F336)</f>
        <v>117.39999999999999</v>
      </c>
      <c r="G337" s="48">
        <f>(G331*$F331+$F333*G333+$F334*G334+$F335*G335+$F336*G336+$F332*G332)/$F337</f>
        <v>224.39522998296425</v>
      </c>
    </row>
    <row r="338" spans="1:7" x14ac:dyDescent="0.3">
      <c r="A338" s="3" t="s">
        <v>12</v>
      </c>
      <c r="B338" s="1" t="s">
        <v>13</v>
      </c>
      <c r="E338" s="14"/>
      <c r="F338" s="15"/>
      <c r="G338" s="16"/>
    </row>
    <row r="339" spans="1:7" x14ac:dyDescent="0.3">
      <c r="E339" s="17"/>
      <c r="F339" s="1"/>
      <c r="G339" s="18"/>
    </row>
    <row r="340" spans="1:7" x14ac:dyDescent="0.3">
      <c r="A340" s="3" t="s">
        <v>234</v>
      </c>
    </row>
    <row r="341" spans="1:7" x14ac:dyDescent="0.3">
      <c r="A341" t="s">
        <v>235</v>
      </c>
      <c r="B341" s="1">
        <v>100</v>
      </c>
      <c r="D341" s="9" t="s">
        <v>236</v>
      </c>
      <c r="E341" s="8" t="s">
        <v>237</v>
      </c>
      <c r="F341" s="8">
        <v>100</v>
      </c>
      <c r="G341" s="32">
        <v>125</v>
      </c>
    </row>
    <row r="342" spans="1:7" x14ac:dyDescent="0.3">
      <c r="A342" t="s">
        <v>98</v>
      </c>
      <c r="B342" s="1">
        <v>1</v>
      </c>
      <c r="D342" s="9" t="s">
        <v>99</v>
      </c>
      <c r="E342" s="8" t="s">
        <v>100</v>
      </c>
      <c r="F342" s="8">
        <v>1</v>
      </c>
      <c r="G342" s="32">
        <v>88</v>
      </c>
    </row>
    <row r="343" spans="1:7" x14ac:dyDescent="0.3">
      <c r="A343" t="s">
        <v>44</v>
      </c>
      <c r="B343" s="1">
        <v>10</v>
      </c>
      <c r="D343" s="9" t="s">
        <v>45</v>
      </c>
      <c r="E343" s="8" t="s">
        <v>46</v>
      </c>
      <c r="F343" s="8">
        <v>10</v>
      </c>
      <c r="G343" s="32">
        <v>899</v>
      </c>
    </row>
    <row r="344" spans="1:7" x14ac:dyDescent="0.3">
      <c r="A344" t="s">
        <v>24</v>
      </c>
      <c r="B344" s="1">
        <v>0.3</v>
      </c>
      <c r="D344" s="9" t="s">
        <v>25</v>
      </c>
      <c r="E344" s="42" t="s">
        <v>26</v>
      </c>
      <c r="F344" s="9">
        <v>0.3</v>
      </c>
      <c r="G344" s="32">
        <v>0</v>
      </c>
    </row>
    <row r="345" spans="1:7" x14ac:dyDescent="0.3">
      <c r="A345" s="3" t="s">
        <v>10</v>
      </c>
      <c r="B345" s="1">
        <v>111.3</v>
      </c>
      <c r="E345" s="10" t="s">
        <v>11</v>
      </c>
      <c r="F345" s="48">
        <f>SUM(F341:F344)</f>
        <v>111.3</v>
      </c>
      <c r="G345" s="48">
        <f>($F341*G341+$F342*G342+$F343*G343+$F344*G344)/$F345</f>
        <v>193.87241689128481</v>
      </c>
    </row>
    <row r="346" spans="1:7" x14ac:dyDescent="0.3">
      <c r="A346" s="3" t="s">
        <v>12</v>
      </c>
      <c r="B346" s="1" t="s">
        <v>13</v>
      </c>
      <c r="E346" s="14"/>
      <c r="F346" s="15"/>
      <c r="G346" s="16"/>
    </row>
    <row r="347" spans="1:7" x14ac:dyDescent="0.3">
      <c r="E347" s="17"/>
      <c r="F347" s="1"/>
      <c r="G347" s="18"/>
    </row>
    <row r="348" spans="1:7" x14ac:dyDescent="0.3">
      <c r="A348" s="3" t="s">
        <v>238</v>
      </c>
    </row>
    <row r="349" spans="1:7" x14ac:dyDescent="0.3">
      <c r="A349" t="s">
        <v>239</v>
      </c>
      <c r="B349" s="1">
        <v>100</v>
      </c>
      <c r="D349" s="9" t="s">
        <v>240</v>
      </c>
      <c r="E349" s="8" t="s">
        <v>241</v>
      </c>
      <c r="F349" s="8">
        <v>100</v>
      </c>
      <c r="G349" s="32">
        <v>107</v>
      </c>
    </row>
    <row r="350" spans="1:7" x14ac:dyDescent="0.3">
      <c r="A350" t="s">
        <v>98</v>
      </c>
      <c r="B350" s="1">
        <v>1</v>
      </c>
      <c r="D350" s="9" t="s">
        <v>99</v>
      </c>
      <c r="E350" s="8" t="s">
        <v>100</v>
      </c>
      <c r="F350" s="8">
        <v>1</v>
      </c>
      <c r="G350" s="32">
        <v>88</v>
      </c>
    </row>
    <row r="351" spans="1:7" x14ac:dyDescent="0.3">
      <c r="A351" t="s">
        <v>44</v>
      </c>
      <c r="B351" s="1">
        <v>10</v>
      </c>
      <c r="D351" s="9" t="s">
        <v>45</v>
      </c>
      <c r="E351" s="8" t="s">
        <v>46</v>
      </c>
      <c r="F351" s="8">
        <v>10</v>
      </c>
      <c r="G351" s="32">
        <v>899</v>
      </c>
    </row>
    <row r="352" spans="1:7" x14ac:dyDescent="0.3">
      <c r="A352" t="s">
        <v>24</v>
      </c>
      <c r="B352" s="1">
        <v>0.3</v>
      </c>
      <c r="D352" s="9" t="s">
        <v>25</v>
      </c>
      <c r="E352" s="42" t="s">
        <v>26</v>
      </c>
      <c r="F352" s="9">
        <v>0.3</v>
      </c>
      <c r="G352" s="32">
        <v>0</v>
      </c>
    </row>
    <row r="353" spans="1:7" x14ac:dyDescent="0.3">
      <c r="A353" s="3" t="s">
        <v>10</v>
      </c>
      <c r="B353" s="1">
        <v>111.3</v>
      </c>
      <c r="E353" s="10" t="s">
        <v>11</v>
      </c>
      <c r="F353" s="48">
        <f>SUM(F349:F352)</f>
        <v>111.3</v>
      </c>
      <c r="G353" s="48">
        <f>($F349*G349+$F350*G350+$F351*G351+$F352*G352)/$F353</f>
        <v>177.69991015274036</v>
      </c>
    </row>
    <row r="354" spans="1:7" x14ac:dyDescent="0.3">
      <c r="A354" s="3" t="s">
        <v>12</v>
      </c>
      <c r="B354" s="1" t="s">
        <v>13</v>
      </c>
      <c r="E354" s="14"/>
      <c r="F354" s="15"/>
      <c r="G354" s="16"/>
    </row>
    <row r="355" spans="1:7" x14ac:dyDescent="0.3">
      <c r="E355" s="17"/>
      <c r="F355" s="1"/>
      <c r="G355" s="18"/>
    </row>
    <row r="356" spans="1:7" x14ac:dyDescent="0.3">
      <c r="E356" s="17"/>
      <c r="F356" s="1"/>
      <c r="G356" s="20"/>
    </row>
    <row r="357" spans="1:7" x14ac:dyDescent="0.3">
      <c r="A357" s="3" t="s">
        <v>242</v>
      </c>
    </row>
    <row r="358" spans="1:7" x14ac:dyDescent="0.3">
      <c r="A358" t="s">
        <v>243</v>
      </c>
      <c r="B358" s="1">
        <v>100</v>
      </c>
      <c r="D358" s="9" t="s">
        <v>244</v>
      </c>
      <c r="E358" s="8" t="s">
        <v>245</v>
      </c>
      <c r="F358" s="8">
        <v>100</v>
      </c>
      <c r="G358" s="32">
        <v>126</v>
      </c>
    </row>
    <row r="359" spans="1:7" x14ac:dyDescent="0.3">
      <c r="A359" t="s">
        <v>44</v>
      </c>
      <c r="B359" s="1">
        <v>10</v>
      </c>
      <c r="D359" s="9" t="s">
        <v>45</v>
      </c>
      <c r="E359" s="8" t="s">
        <v>46</v>
      </c>
      <c r="F359" s="8">
        <v>10</v>
      </c>
      <c r="G359" s="32">
        <v>899</v>
      </c>
    </row>
    <row r="360" spans="1:7" x14ac:dyDescent="0.3">
      <c r="A360" t="s">
        <v>24</v>
      </c>
      <c r="B360" s="1">
        <v>0.3</v>
      </c>
      <c r="D360" s="9" t="s">
        <v>25</v>
      </c>
      <c r="E360" s="42" t="s">
        <v>26</v>
      </c>
      <c r="F360" s="9">
        <v>0.3</v>
      </c>
      <c r="G360" s="32">
        <v>0</v>
      </c>
    </row>
    <row r="361" spans="1:7" x14ac:dyDescent="0.3">
      <c r="A361" t="s">
        <v>98</v>
      </c>
      <c r="B361" s="1">
        <v>1</v>
      </c>
      <c r="D361" s="9" t="s">
        <v>99</v>
      </c>
      <c r="E361" s="8" t="s">
        <v>100</v>
      </c>
      <c r="F361" s="8">
        <v>1</v>
      </c>
      <c r="G361" s="32">
        <v>88</v>
      </c>
    </row>
    <row r="362" spans="1:7" x14ac:dyDescent="0.3">
      <c r="A362" s="3" t="s">
        <v>10</v>
      </c>
      <c r="B362" s="1">
        <v>111.3</v>
      </c>
      <c r="E362" s="10" t="s">
        <v>11</v>
      </c>
      <c r="F362" s="48">
        <f>SUM(F358:F361)</f>
        <v>111.3</v>
      </c>
      <c r="G362" s="48">
        <f>($F358*G358+$F359*G359+$F360*G360+$F361*G361)/$F362</f>
        <v>194.77088948787062</v>
      </c>
    </row>
    <row r="363" spans="1:7" x14ac:dyDescent="0.3">
      <c r="A363" s="3" t="s">
        <v>12</v>
      </c>
      <c r="B363" s="1" t="s">
        <v>13</v>
      </c>
      <c r="E363" s="14"/>
      <c r="F363" s="15"/>
      <c r="G363" s="16"/>
    </row>
    <row r="364" spans="1:7" x14ac:dyDescent="0.3">
      <c r="E364" s="17"/>
      <c r="F364" s="1"/>
      <c r="G364" s="18"/>
    </row>
    <row r="365" spans="1:7" x14ac:dyDescent="0.3">
      <c r="A365" s="3" t="s">
        <v>246</v>
      </c>
    </row>
    <row r="366" spans="1:7" x14ac:dyDescent="0.3">
      <c r="A366" t="s">
        <v>246</v>
      </c>
      <c r="B366">
        <v>200</v>
      </c>
      <c r="D366" s="9" t="s">
        <v>247</v>
      </c>
      <c r="E366" s="8" t="s">
        <v>248</v>
      </c>
      <c r="F366" s="8">
        <v>200</v>
      </c>
      <c r="G366" s="32">
        <v>19</v>
      </c>
    </row>
    <row r="367" spans="1:7" x14ac:dyDescent="0.3">
      <c r="A367" t="s">
        <v>44</v>
      </c>
      <c r="B367" s="1">
        <v>10</v>
      </c>
      <c r="D367" s="9" t="s">
        <v>45</v>
      </c>
      <c r="E367" s="8" t="s">
        <v>46</v>
      </c>
      <c r="F367" s="8">
        <v>10</v>
      </c>
      <c r="G367" s="32">
        <v>899</v>
      </c>
    </row>
    <row r="368" spans="1:7" x14ac:dyDescent="0.3">
      <c r="A368" t="s">
        <v>24</v>
      </c>
      <c r="B368" s="1">
        <v>0.3</v>
      </c>
      <c r="D368" s="9" t="s">
        <v>25</v>
      </c>
      <c r="E368" s="42" t="s">
        <v>26</v>
      </c>
      <c r="F368" s="9">
        <v>0.3</v>
      </c>
      <c r="G368" s="32">
        <v>0</v>
      </c>
    </row>
    <row r="369" spans="1:7" x14ac:dyDescent="0.3">
      <c r="A369" s="3" t="s">
        <v>10</v>
      </c>
      <c r="B369" s="1">
        <v>210.3</v>
      </c>
      <c r="E369" s="10" t="s">
        <v>11</v>
      </c>
      <c r="F369" s="48">
        <f>SUM(F366:F368)</f>
        <v>210.3</v>
      </c>
      <c r="G369" s="48">
        <f>($F366*G366+$F367*G367+$F368*G368)/$F369</f>
        <v>60.817879220161672</v>
      </c>
    </row>
    <row r="370" spans="1:7" x14ac:dyDescent="0.3">
      <c r="A370" s="3" t="s">
        <v>12</v>
      </c>
      <c r="B370" s="1" t="s">
        <v>13</v>
      </c>
      <c r="E370" s="14"/>
      <c r="F370" s="15"/>
      <c r="G370" s="16"/>
    </row>
    <row r="371" spans="1:7" x14ac:dyDescent="0.3">
      <c r="E371" s="17"/>
      <c r="F371" s="1"/>
      <c r="G371" s="18"/>
    </row>
    <row r="372" spans="1:7" x14ac:dyDescent="0.3">
      <c r="A372" s="3" t="s">
        <v>249</v>
      </c>
    </row>
    <row r="373" spans="1:7" x14ac:dyDescent="0.3">
      <c r="A373" t="s">
        <v>250</v>
      </c>
      <c r="B373" s="1">
        <v>100</v>
      </c>
      <c r="D373" s="9" t="s">
        <v>251</v>
      </c>
      <c r="E373" s="8" t="s">
        <v>252</v>
      </c>
      <c r="F373" s="8">
        <v>100</v>
      </c>
      <c r="G373" s="32">
        <v>268</v>
      </c>
    </row>
    <row r="374" spans="1:7" x14ac:dyDescent="0.3">
      <c r="A374" t="s">
        <v>24</v>
      </c>
      <c r="B374" s="1">
        <v>0.3</v>
      </c>
      <c r="D374" s="9" t="s">
        <v>25</v>
      </c>
      <c r="E374" s="42" t="s">
        <v>26</v>
      </c>
      <c r="F374" s="8">
        <v>0.3</v>
      </c>
      <c r="G374" s="32">
        <v>0</v>
      </c>
    </row>
    <row r="375" spans="1:7" x14ac:dyDescent="0.3">
      <c r="A375" s="3" t="s">
        <v>10</v>
      </c>
      <c r="B375" s="1">
        <v>100.3</v>
      </c>
      <c r="E375" s="10" t="s">
        <v>11</v>
      </c>
      <c r="F375" s="48">
        <f>SUM(F373:F374)</f>
        <v>100.3</v>
      </c>
      <c r="G375" s="48">
        <f>($F373*G373+$F374*G374)/$F375</f>
        <v>267.19840478564311</v>
      </c>
    </row>
    <row r="376" spans="1:7" x14ac:dyDescent="0.3">
      <c r="A376" s="3" t="s">
        <v>12</v>
      </c>
      <c r="B376" s="1" t="s">
        <v>13</v>
      </c>
      <c r="E376" s="14"/>
      <c r="F376" s="15"/>
      <c r="G376" s="16"/>
    </row>
    <row r="377" spans="1:7" x14ac:dyDescent="0.3">
      <c r="A377" s="3"/>
      <c r="E377" s="17"/>
      <c r="F377" s="1"/>
      <c r="G377" s="18"/>
    </row>
    <row r="378" spans="1:7" x14ac:dyDescent="0.3">
      <c r="A378" s="3" t="s">
        <v>253</v>
      </c>
    </row>
    <row r="379" spans="1:7" x14ac:dyDescent="0.3">
      <c r="A379" t="s">
        <v>254</v>
      </c>
      <c r="B379" s="1">
        <v>100</v>
      </c>
      <c r="D379" s="9" t="s">
        <v>255</v>
      </c>
      <c r="E379" s="8" t="s">
        <v>256</v>
      </c>
      <c r="F379" s="8">
        <v>100</v>
      </c>
      <c r="G379" s="32">
        <v>92</v>
      </c>
    </row>
    <row r="380" spans="1:7" x14ac:dyDescent="0.3">
      <c r="A380" t="s">
        <v>848</v>
      </c>
      <c r="B380" s="1">
        <v>13</v>
      </c>
      <c r="D380" s="9" t="s">
        <v>257</v>
      </c>
      <c r="E380" s="8" t="s">
        <v>848</v>
      </c>
      <c r="F380" s="8">
        <v>13</v>
      </c>
      <c r="G380" s="32">
        <v>361</v>
      </c>
    </row>
    <row r="381" spans="1:7" x14ac:dyDescent="0.3">
      <c r="A381" t="s">
        <v>258</v>
      </c>
      <c r="B381" s="1">
        <v>25</v>
      </c>
      <c r="D381" s="9" t="s">
        <v>259</v>
      </c>
      <c r="E381" s="8" t="s">
        <v>260</v>
      </c>
      <c r="F381" s="8">
        <v>25</v>
      </c>
      <c r="G381" s="32">
        <v>128</v>
      </c>
    </row>
    <row r="382" spans="1:7" x14ac:dyDescent="0.3">
      <c r="A382" t="s">
        <v>24</v>
      </c>
      <c r="B382" s="1">
        <v>0.3</v>
      </c>
      <c r="D382" s="9" t="s">
        <v>25</v>
      </c>
      <c r="E382" s="42" t="s">
        <v>26</v>
      </c>
      <c r="F382" s="9">
        <v>0.3</v>
      </c>
      <c r="G382" s="32">
        <v>0</v>
      </c>
    </row>
    <row r="383" spans="1:7" x14ac:dyDescent="0.3">
      <c r="A383" t="s">
        <v>63</v>
      </c>
      <c r="B383" s="1">
        <v>15</v>
      </c>
      <c r="D383" s="9" t="s">
        <v>64</v>
      </c>
      <c r="E383" s="8" t="s">
        <v>65</v>
      </c>
      <c r="F383" s="8">
        <v>15</v>
      </c>
      <c r="G383" s="32">
        <v>758</v>
      </c>
    </row>
    <row r="384" spans="1:7" x14ac:dyDescent="0.3">
      <c r="A384" s="3" t="s">
        <v>10</v>
      </c>
      <c r="B384" s="1">
        <v>153.30000000000001</v>
      </c>
      <c r="E384" s="10" t="s">
        <v>11</v>
      </c>
      <c r="F384" s="48">
        <f>SUM(F379:F383)</f>
        <v>153.30000000000001</v>
      </c>
      <c r="G384" s="48">
        <f>($F379*G379+$F380*G380+$F381*G381+$F382*G382+$F383*G383)/$F384</f>
        <v>185.66862361382908</v>
      </c>
    </row>
    <row r="385" spans="1:7" x14ac:dyDescent="0.3">
      <c r="A385" s="3" t="s">
        <v>12</v>
      </c>
      <c r="B385" s="1" t="s">
        <v>13</v>
      </c>
      <c r="E385" s="14"/>
      <c r="F385" s="15"/>
      <c r="G385" s="16"/>
    </row>
    <row r="386" spans="1:7" x14ac:dyDescent="0.3">
      <c r="E386" s="17"/>
      <c r="F386" s="1"/>
      <c r="G386" s="18"/>
    </row>
    <row r="387" spans="1:7" x14ac:dyDescent="0.3">
      <c r="A387" s="3" t="s">
        <v>261</v>
      </c>
    </row>
    <row r="388" spans="1:7" x14ac:dyDescent="0.3">
      <c r="A388" t="s">
        <v>210</v>
      </c>
      <c r="B388" s="1">
        <v>50</v>
      </c>
      <c r="D388" s="9" t="s">
        <v>211</v>
      </c>
      <c r="E388" s="8" t="s">
        <v>212</v>
      </c>
      <c r="F388" s="8">
        <v>50</v>
      </c>
      <c r="G388" s="32">
        <v>363</v>
      </c>
    </row>
    <row r="389" spans="1:7" x14ac:dyDescent="0.3">
      <c r="A389" t="s">
        <v>262</v>
      </c>
      <c r="B389" s="1">
        <v>125</v>
      </c>
      <c r="D389" s="9" t="s">
        <v>263</v>
      </c>
      <c r="E389" s="8" t="s">
        <v>264</v>
      </c>
      <c r="F389" s="8">
        <v>125</v>
      </c>
      <c r="G389" s="32">
        <v>5</v>
      </c>
    </row>
    <row r="390" spans="1:7" x14ac:dyDescent="0.3">
      <c r="A390" t="s">
        <v>44</v>
      </c>
      <c r="B390" s="1">
        <v>10</v>
      </c>
      <c r="D390" s="9" t="s">
        <v>45</v>
      </c>
      <c r="E390" s="8" t="s">
        <v>46</v>
      </c>
      <c r="F390" s="8">
        <v>10</v>
      </c>
      <c r="G390" s="32">
        <v>899</v>
      </c>
    </row>
    <row r="391" spans="1:7" x14ac:dyDescent="0.3">
      <c r="A391" t="s">
        <v>126</v>
      </c>
      <c r="B391" s="1">
        <v>30</v>
      </c>
      <c r="D391" s="9" t="s">
        <v>127</v>
      </c>
      <c r="E391" s="8" t="s">
        <v>128</v>
      </c>
      <c r="F391" s="8">
        <v>30</v>
      </c>
      <c r="G391" s="32">
        <v>28</v>
      </c>
    </row>
    <row r="392" spans="1:7" x14ac:dyDescent="0.3">
      <c r="A392" t="s">
        <v>71</v>
      </c>
      <c r="B392" s="1">
        <v>0.1</v>
      </c>
      <c r="D392" s="9" t="s">
        <v>72</v>
      </c>
      <c r="E392" s="8" t="s">
        <v>73</v>
      </c>
      <c r="F392" s="8">
        <v>0.1</v>
      </c>
      <c r="G392" s="32">
        <v>270</v>
      </c>
    </row>
    <row r="393" spans="1:7" x14ac:dyDescent="0.3">
      <c r="A393" s="3" t="s">
        <v>10</v>
      </c>
      <c r="B393" s="1">
        <v>215.1</v>
      </c>
      <c r="E393" s="10" t="s">
        <v>11</v>
      </c>
      <c r="F393" s="48">
        <f>SUM(F388:F392)</f>
        <v>215.1</v>
      </c>
      <c r="G393" s="48">
        <f>($F388*G388+$F389*G389+$F390*G390+$F391*G391+$F392*G392)/$F393</f>
        <v>133.11018131101812</v>
      </c>
    </row>
    <row r="394" spans="1:7" x14ac:dyDescent="0.3">
      <c r="A394" s="3" t="s">
        <v>12</v>
      </c>
      <c r="B394" s="1" t="s">
        <v>13</v>
      </c>
      <c r="E394" s="14"/>
      <c r="F394" s="15"/>
      <c r="G394" s="16"/>
    </row>
    <row r="395" spans="1:7" x14ac:dyDescent="0.3">
      <c r="E395" s="17"/>
      <c r="F395" s="1"/>
      <c r="G395" s="18"/>
    </row>
    <row r="396" spans="1:7" x14ac:dyDescent="0.3">
      <c r="A396" s="3" t="s">
        <v>265</v>
      </c>
    </row>
    <row r="397" spans="1:7" x14ac:dyDescent="0.3">
      <c r="A397" t="s">
        <v>266</v>
      </c>
      <c r="B397" s="1">
        <v>50</v>
      </c>
      <c r="D397" s="9" t="s">
        <v>267</v>
      </c>
      <c r="E397" s="8" t="s">
        <v>268</v>
      </c>
      <c r="F397" s="8">
        <v>50</v>
      </c>
      <c r="G397" s="32">
        <v>345</v>
      </c>
    </row>
    <row r="398" spans="1:7" x14ac:dyDescent="0.3">
      <c r="A398" t="s">
        <v>262</v>
      </c>
      <c r="B398" s="1">
        <v>125</v>
      </c>
      <c r="D398" s="9" t="s">
        <v>263</v>
      </c>
      <c r="E398" s="8" t="s">
        <v>264</v>
      </c>
      <c r="F398" s="8">
        <v>125</v>
      </c>
      <c r="G398" s="32">
        <v>5</v>
      </c>
    </row>
    <row r="399" spans="1:7" x14ac:dyDescent="0.3">
      <c r="A399" t="s">
        <v>44</v>
      </c>
      <c r="B399" s="1">
        <v>10</v>
      </c>
      <c r="D399" s="9" t="s">
        <v>45</v>
      </c>
      <c r="E399" s="8" t="s">
        <v>46</v>
      </c>
      <c r="F399" s="8">
        <v>10</v>
      </c>
      <c r="G399" s="32">
        <v>899</v>
      </c>
    </row>
    <row r="400" spans="1:7" x14ac:dyDescent="0.3">
      <c r="A400" t="s">
        <v>126</v>
      </c>
      <c r="B400" s="1">
        <v>30</v>
      </c>
      <c r="D400" s="9" t="s">
        <v>127</v>
      </c>
      <c r="E400" s="8" t="s">
        <v>128</v>
      </c>
      <c r="F400" s="8">
        <v>30</v>
      </c>
      <c r="G400" s="32">
        <v>28</v>
      </c>
    </row>
    <row r="401" spans="1:7" x14ac:dyDescent="0.3">
      <c r="A401" t="s">
        <v>71</v>
      </c>
      <c r="B401" s="1">
        <v>0.1</v>
      </c>
      <c r="D401" s="9" t="s">
        <v>72</v>
      </c>
      <c r="E401" s="8" t="s">
        <v>73</v>
      </c>
      <c r="F401" s="8">
        <v>0.1</v>
      </c>
      <c r="G401" s="32">
        <v>270</v>
      </c>
    </row>
    <row r="402" spans="1:7" x14ac:dyDescent="0.3">
      <c r="A402" s="3" t="s">
        <v>10</v>
      </c>
      <c r="B402" s="1">
        <v>215.1</v>
      </c>
      <c r="E402" s="10" t="s">
        <v>11</v>
      </c>
      <c r="F402" s="48">
        <f>SUM(F397:F401)</f>
        <v>215.1</v>
      </c>
      <c r="G402" s="48">
        <f>($F397*G397+$F398*G398+$F399*G399+$F400*G400+$F401*G401)/$F402</f>
        <v>128.9260808926081</v>
      </c>
    </row>
    <row r="403" spans="1:7" x14ac:dyDescent="0.3">
      <c r="A403" s="3" t="s">
        <v>12</v>
      </c>
      <c r="B403" s="1" t="s">
        <v>13</v>
      </c>
      <c r="E403" s="14"/>
      <c r="F403" s="15"/>
      <c r="G403" s="16"/>
    </row>
    <row r="404" spans="1:7" x14ac:dyDescent="0.3">
      <c r="E404" s="17"/>
      <c r="F404" s="1"/>
      <c r="G404" s="18"/>
    </row>
    <row r="405" spans="1:7" x14ac:dyDescent="0.3">
      <c r="A405" s="3" t="s">
        <v>269</v>
      </c>
    </row>
    <row r="406" spans="1:7" x14ac:dyDescent="0.3">
      <c r="A406" t="s">
        <v>270</v>
      </c>
      <c r="B406" s="1">
        <v>150</v>
      </c>
      <c r="D406" s="9" t="s">
        <v>271</v>
      </c>
      <c r="E406" s="8" t="s">
        <v>272</v>
      </c>
      <c r="F406" s="8">
        <v>150</v>
      </c>
      <c r="G406" s="32">
        <v>70</v>
      </c>
    </row>
    <row r="407" spans="1:7" x14ac:dyDescent="0.3">
      <c r="A407" t="s">
        <v>262</v>
      </c>
      <c r="B407" s="1">
        <v>125</v>
      </c>
      <c r="D407" s="9" t="s">
        <v>263</v>
      </c>
      <c r="E407" s="8" t="s">
        <v>264</v>
      </c>
      <c r="F407" s="8">
        <v>125</v>
      </c>
      <c r="G407" s="32">
        <v>5</v>
      </c>
    </row>
    <row r="408" spans="1:7" x14ac:dyDescent="0.3">
      <c r="A408" t="s">
        <v>126</v>
      </c>
      <c r="B408" s="1">
        <v>30</v>
      </c>
      <c r="D408" s="9" t="s">
        <v>127</v>
      </c>
      <c r="E408" s="8" t="s">
        <v>128</v>
      </c>
      <c r="F408" s="8">
        <v>30</v>
      </c>
      <c r="G408" s="32">
        <v>28</v>
      </c>
    </row>
    <row r="409" spans="1:7" x14ac:dyDescent="0.3">
      <c r="A409" t="s">
        <v>44</v>
      </c>
      <c r="B409" s="1">
        <v>10</v>
      </c>
      <c r="D409" s="9" t="s">
        <v>45</v>
      </c>
      <c r="E409" s="8" t="s">
        <v>46</v>
      </c>
      <c r="F409" s="8">
        <v>10</v>
      </c>
      <c r="G409" s="32">
        <v>899</v>
      </c>
    </row>
    <row r="410" spans="1:7" x14ac:dyDescent="0.3">
      <c r="A410" t="s">
        <v>71</v>
      </c>
      <c r="B410" s="1">
        <v>0.1</v>
      </c>
      <c r="D410" s="9" t="s">
        <v>72</v>
      </c>
      <c r="E410" s="8" t="s">
        <v>73</v>
      </c>
      <c r="F410" s="8">
        <v>0.1</v>
      </c>
      <c r="G410" s="32">
        <v>270</v>
      </c>
    </row>
    <row r="411" spans="1:7" x14ac:dyDescent="0.3">
      <c r="A411" t="s">
        <v>105</v>
      </c>
      <c r="B411" s="1">
        <v>0.5</v>
      </c>
      <c r="D411" s="9" t="s">
        <v>106</v>
      </c>
      <c r="E411" s="8" t="s">
        <v>107</v>
      </c>
      <c r="F411" s="8">
        <v>0.5</v>
      </c>
      <c r="G411" s="32">
        <v>30</v>
      </c>
    </row>
    <row r="412" spans="1:7" x14ac:dyDescent="0.3">
      <c r="A412" t="s">
        <v>139</v>
      </c>
      <c r="B412" s="1">
        <v>5</v>
      </c>
      <c r="D412" s="9" t="s">
        <v>140</v>
      </c>
      <c r="E412" s="8" t="s">
        <v>141</v>
      </c>
      <c r="F412" s="8">
        <v>5</v>
      </c>
      <c r="G412" s="32">
        <v>387</v>
      </c>
    </row>
    <row r="413" spans="1:7" x14ac:dyDescent="0.3">
      <c r="A413" s="3" t="s">
        <v>10</v>
      </c>
      <c r="B413" s="1">
        <v>320.60000000000002</v>
      </c>
      <c r="E413" s="10" t="s">
        <v>11</v>
      </c>
      <c r="F413" s="48">
        <f>SUM(F406:F412)</f>
        <v>320.60000000000002</v>
      </c>
      <c r="G413" s="48">
        <f>($F406*G406+$F407*G407+$F408*G408+$F409*G409+$F410*G410+$F411*G411+$F412*G412)/$F413</f>
        <v>71.528384279475972</v>
      </c>
    </row>
    <row r="414" spans="1:7" x14ac:dyDescent="0.3">
      <c r="A414" s="3" t="s">
        <v>12</v>
      </c>
      <c r="B414" s="1" t="s">
        <v>13</v>
      </c>
      <c r="E414" s="14"/>
      <c r="F414" s="15"/>
      <c r="G414" s="16"/>
    </row>
    <row r="415" spans="1:7" x14ac:dyDescent="0.3">
      <c r="E415" s="17"/>
      <c r="F415" s="1"/>
      <c r="G415" s="18"/>
    </row>
    <row r="416" spans="1:7" x14ac:dyDescent="0.3">
      <c r="A416" s="3" t="s">
        <v>273</v>
      </c>
    </row>
    <row r="417" spans="1:7" x14ac:dyDescent="0.3">
      <c r="A417" t="s">
        <v>262</v>
      </c>
      <c r="B417" s="1">
        <v>125</v>
      </c>
      <c r="D417" s="9" t="s">
        <v>263</v>
      </c>
      <c r="E417" s="8" t="s">
        <v>264</v>
      </c>
      <c r="F417" s="8">
        <v>125</v>
      </c>
      <c r="G417" s="32">
        <v>5</v>
      </c>
    </row>
    <row r="418" spans="1:7" x14ac:dyDescent="0.3">
      <c r="A418" t="s">
        <v>270</v>
      </c>
      <c r="B418" s="1">
        <v>150</v>
      </c>
      <c r="D418" s="9" t="s">
        <v>271</v>
      </c>
      <c r="E418" s="8" t="s">
        <v>272</v>
      </c>
      <c r="F418" s="8">
        <v>150</v>
      </c>
      <c r="G418" s="32">
        <v>70</v>
      </c>
    </row>
    <row r="419" spans="1:7" x14ac:dyDescent="0.3">
      <c r="A419" t="s">
        <v>274</v>
      </c>
      <c r="B419" s="1">
        <v>70</v>
      </c>
      <c r="D419" s="9" t="s">
        <v>275</v>
      </c>
      <c r="E419" s="8" t="s">
        <v>276</v>
      </c>
      <c r="F419" s="8">
        <v>70</v>
      </c>
      <c r="G419" s="32">
        <v>80</v>
      </c>
    </row>
    <row r="420" spans="1:7" x14ac:dyDescent="0.3">
      <c r="A420" t="s">
        <v>126</v>
      </c>
      <c r="B420" s="1">
        <v>30</v>
      </c>
      <c r="D420" s="9" t="s">
        <v>127</v>
      </c>
      <c r="E420" s="8" t="s">
        <v>128</v>
      </c>
      <c r="F420" s="8">
        <v>30</v>
      </c>
      <c r="G420" s="32">
        <v>28</v>
      </c>
    </row>
    <row r="421" spans="1:7" x14ac:dyDescent="0.3">
      <c r="A421" t="s">
        <v>44</v>
      </c>
      <c r="B421" s="1">
        <v>10</v>
      </c>
      <c r="D421" s="9" t="s">
        <v>45</v>
      </c>
      <c r="E421" s="8" t="s">
        <v>46</v>
      </c>
      <c r="F421" s="9">
        <v>10</v>
      </c>
      <c r="G421" s="32">
        <v>899</v>
      </c>
    </row>
    <row r="422" spans="1:7" x14ac:dyDescent="0.3">
      <c r="A422" t="s">
        <v>105</v>
      </c>
      <c r="B422" s="1">
        <v>2</v>
      </c>
      <c r="D422" s="9" t="s">
        <v>106</v>
      </c>
      <c r="E422" s="8" t="s">
        <v>107</v>
      </c>
      <c r="F422" s="8">
        <v>2</v>
      </c>
      <c r="G422" s="32">
        <v>30</v>
      </c>
    </row>
    <row r="423" spans="1:7" x14ac:dyDescent="0.3">
      <c r="A423" t="s">
        <v>139</v>
      </c>
      <c r="B423" s="1">
        <v>5</v>
      </c>
      <c r="D423" s="9" t="s">
        <v>140</v>
      </c>
      <c r="E423" s="8" t="s">
        <v>141</v>
      </c>
      <c r="F423" s="8">
        <v>5</v>
      </c>
      <c r="G423" s="32">
        <v>387</v>
      </c>
    </row>
    <row r="424" spans="1:7" x14ac:dyDescent="0.3">
      <c r="A424" t="s">
        <v>71</v>
      </c>
      <c r="B424" s="1">
        <v>0.1</v>
      </c>
      <c r="D424" s="9" t="s">
        <v>72</v>
      </c>
      <c r="E424" s="8" t="s">
        <v>73</v>
      </c>
      <c r="F424" s="9">
        <v>0.1</v>
      </c>
      <c r="G424" s="32">
        <v>270</v>
      </c>
    </row>
    <row r="425" spans="1:7" x14ac:dyDescent="0.3">
      <c r="A425" s="3" t="s">
        <v>10</v>
      </c>
      <c r="B425" s="1">
        <v>392.1</v>
      </c>
      <c r="E425" s="10" t="s">
        <v>11</v>
      </c>
      <c r="F425" s="49">
        <f>SUM(F417:F424)</f>
        <v>392.1</v>
      </c>
      <c r="G425" s="48">
        <f>(G417*$F417+G418*$F418+G419*$F419+G420*$F420+G421*$F421+G422*$F422+G423*$F423+G424*$F424)/$F425</f>
        <v>72.881917878092324</v>
      </c>
    </row>
    <row r="426" spans="1:7" x14ac:dyDescent="0.3">
      <c r="A426" s="3" t="s">
        <v>12</v>
      </c>
      <c r="B426" s="1" t="s">
        <v>13</v>
      </c>
      <c r="E426" s="14"/>
      <c r="F426" s="15"/>
      <c r="G426" s="15"/>
    </row>
    <row r="427" spans="1:7" x14ac:dyDescent="0.3">
      <c r="E427" s="17"/>
      <c r="F427" s="1"/>
      <c r="G427" s="18"/>
    </row>
    <row r="428" spans="1:7" x14ac:dyDescent="0.3">
      <c r="A428" s="3" t="s">
        <v>277</v>
      </c>
    </row>
    <row r="429" spans="1:7" x14ac:dyDescent="0.3">
      <c r="A429" t="s">
        <v>874</v>
      </c>
      <c r="B429" s="1">
        <v>200</v>
      </c>
      <c r="D429" s="9" t="s">
        <v>278</v>
      </c>
      <c r="E429" s="8" t="s">
        <v>874</v>
      </c>
      <c r="F429" s="8">
        <v>200</v>
      </c>
      <c r="G429" s="32">
        <v>19</v>
      </c>
    </row>
    <row r="430" spans="1:7" x14ac:dyDescent="0.3">
      <c r="A430" t="s">
        <v>262</v>
      </c>
      <c r="B430" s="1">
        <v>125</v>
      </c>
      <c r="D430" s="9" t="s">
        <v>263</v>
      </c>
      <c r="E430" s="8" t="s">
        <v>264</v>
      </c>
      <c r="F430" s="8">
        <v>125</v>
      </c>
      <c r="G430" s="32">
        <v>5</v>
      </c>
    </row>
    <row r="431" spans="1:7" x14ac:dyDescent="0.3">
      <c r="A431" t="s">
        <v>126</v>
      </c>
      <c r="B431" s="1">
        <v>30</v>
      </c>
      <c r="D431" s="9" t="s">
        <v>127</v>
      </c>
      <c r="E431" s="8" t="s">
        <v>128</v>
      </c>
      <c r="F431" s="8">
        <v>30</v>
      </c>
      <c r="G431" s="32">
        <v>28</v>
      </c>
    </row>
    <row r="432" spans="1:7" x14ac:dyDescent="0.3">
      <c r="A432" t="s">
        <v>44</v>
      </c>
      <c r="B432" s="1">
        <v>10</v>
      </c>
      <c r="D432" s="9" t="s">
        <v>45</v>
      </c>
      <c r="E432" s="8" t="s">
        <v>46</v>
      </c>
      <c r="F432" s="8">
        <v>10</v>
      </c>
      <c r="G432" s="32">
        <v>899</v>
      </c>
    </row>
    <row r="433" spans="1:7" x14ac:dyDescent="0.3">
      <c r="A433" t="s">
        <v>71</v>
      </c>
      <c r="B433" s="1">
        <v>0.1</v>
      </c>
      <c r="D433" s="9" t="s">
        <v>72</v>
      </c>
      <c r="E433" s="8" t="s">
        <v>73</v>
      </c>
      <c r="F433" s="8">
        <v>0.1</v>
      </c>
      <c r="G433" s="32">
        <v>270</v>
      </c>
    </row>
    <row r="434" spans="1:7" x14ac:dyDescent="0.3">
      <c r="A434" t="s">
        <v>279</v>
      </c>
      <c r="B434" s="1">
        <v>2</v>
      </c>
      <c r="D434" s="9" t="s">
        <v>280</v>
      </c>
      <c r="E434" s="8" t="s">
        <v>281</v>
      </c>
      <c r="F434" s="8">
        <v>2</v>
      </c>
      <c r="G434" s="32">
        <v>145</v>
      </c>
    </row>
    <row r="435" spans="1:7" x14ac:dyDescent="0.3">
      <c r="A435" t="s">
        <v>139</v>
      </c>
      <c r="B435" s="1">
        <v>5</v>
      </c>
      <c r="D435" s="9" t="s">
        <v>140</v>
      </c>
      <c r="E435" s="8" t="s">
        <v>141</v>
      </c>
      <c r="F435" s="8">
        <v>5</v>
      </c>
      <c r="G435" s="32">
        <v>387</v>
      </c>
    </row>
    <row r="436" spans="1:7" x14ac:dyDescent="0.3">
      <c r="A436" s="3" t="s">
        <v>10</v>
      </c>
      <c r="B436" s="1">
        <v>372.1</v>
      </c>
      <c r="E436" s="10" t="s">
        <v>11</v>
      </c>
      <c r="F436" s="49">
        <f>SUM(F429:F435)</f>
        <v>372.1</v>
      </c>
      <c r="G436" s="48">
        <f>(G429*$F429+G430*$F430+G431*$F431+G432*$F432+G433*$F433+G434*$F434+G435*$F435)/$F436</f>
        <v>44.361730717549044</v>
      </c>
    </row>
    <row r="437" spans="1:7" x14ac:dyDescent="0.3">
      <c r="A437" s="3" t="s">
        <v>12</v>
      </c>
      <c r="B437" s="1" t="s">
        <v>13</v>
      </c>
      <c r="E437" s="14"/>
      <c r="F437" s="15"/>
      <c r="G437" s="15"/>
    </row>
    <row r="438" spans="1:7" x14ac:dyDescent="0.3">
      <c r="E438" s="17"/>
      <c r="F438" s="1"/>
      <c r="G438" s="18"/>
    </row>
    <row r="439" spans="1:7" x14ac:dyDescent="0.3">
      <c r="A439" s="3" t="s">
        <v>282</v>
      </c>
    </row>
    <row r="440" spans="1:7" x14ac:dyDescent="0.3">
      <c r="A440" t="s">
        <v>262</v>
      </c>
      <c r="B440" s="1">
        <v>125</v>
      </c>
      <c r="D440" s="9" t="s">
        <v>263</v>
      </c>
      <c r="E440" s="8" t="s">
        <v>264</v>
      </c>
      <c r="F440" s="8">
        <v>125</v>
      </c>
      <c r="G440" s="32">
        <v>5</v>
      </c>
    </row>
    <row r="441" spans="1:7" x14ac:dyDescent="0.3">
      <c r="A441" t="s">
        <v>283</v>
      </c>
      <c r="B441" s="1">
        <v>100</v>
      </c>
      <c r="D441" s="9" t="s">
        <v>284</v>
      </c>
      <c r="E441" s="8" t="s">
        <v>285</v>
      </c>
      <c r="F441" s="8">
        <v>100</v>
      </c>
      <c r="G441" s="32">
        <v>35</v>
      </c>
    </row>
    <row r="442" spans="1:7" x14ac:dyDescent="0.3">
      <c r="A442" t="s">
        <v>274</v>
      </c>
      <c r="B442" s="1">
        <v>200</v>
      </c>
      <c r="D442" s="9" t="s">
        <v>275</v>
      </c>
      <c r="E442" s="8" t="s">
        <v>276</v>
      </c>
      <c r="F442" s="8">
        <v>200</v>
      </c>
      <c r="G442" s="32">
        <v>80</v>
      </c>
    </row>
    <row r="443" spans="1:7" x14ac:dyDescent="0.3">
      <c r="A443" t="s">
        <v>126</v>
      </c>
      <c r="B443" s="1">
        <v>30</v>
      </c>
      <c r="D443" s="9" t="s">
        <v>127</v>
      </c>
      <c r="E443" s="8" t="s">
        <v>128</v>
      </c>
      <c r="F443" s="8">
        <v>30</v>
      </c>
      <c r="G443" s="32">
        <v>28</v>
      </c>
    </row>
    <row r="444" spans="1:7" x14ac:dyDescent="0.3">
      <c r="A444" t="s">
        <v>44</v>
      </c>
      <c r="B444" s="1">
        <v>10</v>
      </c>
      <c r="D444" s="9" t="s">
        <v>45</v>
      </c>
      <c r="E444" s="8" t="s">
        <v>46</v>
      </c>
      <c r="F444" s="9">
        <v>10</v>
      </c>
      <c r="G444" s="32">
        <v>899</v>
      </c>
    </row>
    <row r="445" spans="1:7" x14ac:dyDescent="0.3">
      <c r="A445" t="s">
        <v>71</v>
      </c>
      <c r="B445" s="1">
        <v>0.1</v>
      </c>
      <c r="D445" s="9" t="s">
        <v>72</v>
      </c>
      <c r="E445" s="8" t="s">
        <v>73</v>
      </c>
      <c r="F445" s="9">
        <v>0.1</v>
      </c>
      <c r="G445" s="32">
        <v>270</v>
      </c>
    </row>
    <row r="446" spans="1:7" x14ac:dyDescent="0.3">
      <c r="A446" t="s">
        <v>105</v>
      </c>
      <c r="B446" s="1">
        <v>1</v>
      </c>
      <c r="D446" s="9" t="s">
        <v>106</v>
      </c>
      <c r="E446" s="8" t="s">
        <v>107</v>
      </c>
      <c r="F446" s="9">
        <v>1</v>
      </c>
      <c r="G446" s="32">
        <v>30</v>
      </c>
    </row>
    <row r="447" spans="1:7" x14ac:dyDescent="0.3">
      <c r="A447" t="s">
        <v>279</v>
      </c>
      <c r="B447" s="1">
        <v>2</v>
      </c>
      <c r="D447" s="9" t="s">
        <v>280</v>
      </c>
      <c r="E447" s="8" t="s">
        <v>281</v>
      </c>
      <c r="F447" s="8">
        <v>2</v>
      </c>
      <c r="G447" s="32">
        <v>145</v>
      </c>
    </row>
    <row r="448" spans="1:7" x14ac:dyDescent="0.3">
      <c r="A448" t="s">
        <v>139</v>
      </c>
      <c r="B448" s="1">
        <v>5</v>
      </c>
      <c r="D448" s="9" t="s">
        <v>140</v>
      </c>
      <c r="E448" s="8" t="s">
        <v>141</v>
      </c>
      <c r="F448" s="8">
        <v>5</v>
      </c>
      <c r="G448" s="32">
        <v>387</v>
      </c>
    </row>
    <row r="449" spans="1:7" x14ac:dyDescent="0.3">
      <c r="A449" s="3" t="s">
        <v>10</v>
      </c>
      <c r="B449" s="1">
        <v>473.1</v>
      </c>
      <c r="E449" s="10" t="s">
        <v>11</v>
      </c>
      <c r="F449" s="49">
        <f>SUM(F440:F448)</f>
        <v>473.1</v>
      </c>
      <c r="G449" s="48">
        <f>($F440*G440+$F441*G441+G442*$F442+G443*$F443+G444*$F444+G445*$F445+G446*$F446+G447*$F447+G448*$F448)/$F449</f>
        <v>68.139928133586977</v>
      </c>
    </row>
    <row r="450" spans="1:7" x14ac:dyDescent="0.3">
      <c r="A450" s="3" t="s">
        <v>12</v>
      </c>
      <c r="B450" s="1" t="s">
        <v>13</v>
      </c>
      <c r="E450" s="14"/>
      <c r="F450" s="15"/>
      <c r="G450" s="15"/>
    </row>
    <row r="451" spans="1:7" x14ac:dyDescent="0.3">
      <c r="A451" s="3"/>
      <c r="E451" s="17"/>
      <c r="F451" s="1"/>
      <c r="G451" s="18"/>
    </row>
    <row r="452" spans="1:7" x14ac:dyDescent="0.3">
      <c r="A452" s="3" t="s">
        <v>286</v>
      </c>
    </row>
    <row r="453" spans="1:7" x14ac:dyDescent="0.3">
      <c r="A453" t="s">
        <v>66</v>
      </c>
      <c r="B453" s="1">
        <v>25</v>
      </c>
      <c r="D453" s="9" t="s">
        <v>67</v>
      </c>
      <c r="E453" s="8" t="s">
        <v>68</v>
      </c>
      <c r="F453" s="9">
        <v>25</v>
      </c>
      <c r="G453" s="32">
        <v>323</v>
      </c>
    </row>
    <row r="454" spans="1:7" x14ac:dyDescent="0.3">
      <c r="A454" t="s">
        <v>63</v>
      </c>
      <c r="B454" s="1">
        <v>13</v>
      </c>
      <c r="D454" s="9" t="s">
        <v>64</v>
      </c>
      <c r="E454" s="8" t="s">
        <v>65</v>
      </c>
      <c r="F454" s="8">
        <v>13</v>
      </c>
      <c r="G454" s="32">
        <v>758</v>
      </c>
    </row>
    <row r="455" spans="1:7" x14ac:dyDescent="0.3">
      <c r="A455" t="s">
        <v>56</v>
      </c>
      <c r="B455" s="1">
        <v>11</v>
      </c>
      <c r="D455" s="9" t="s">
        <v>57</v>
      </c>
      <c r="E455" s="8" t="s">
        <v>58</v>
      </c>
      <c r="F455" s="8">
        <v>11</v>
      </c>
      <c r="G455" s="32">
        <v>392</v>
      </c>
    </row>
    <row r="456" spans="1:7" x14ac:dyDescent="0.3">
      <c r="A456" t="s">
        <v>78</v>
      </c>
      <c r="B456" s="1">
        <v>19</v>
      </c>
      <c r="D456" s="9" t="s">
        <v>79</v>
      </c>
      <c r="E456" s="8" t="s">
        <v>80</v>
      </c>
      <c r="F456" s="9">
        <v>19</v>
      </c>
      <c r="G456" s="32">
        <v>325</v>
      </c>
    </row>
    <row r="457" spans="1:7" x14ac:dyDescent="0.3">
      <c r="A457" s="65" t="s">
        <v>875</v>
      </c>
      <c r="B457" s="1">
        <v>32</v>
      </c>
      <c r="D457" s="9" t="s">
        <v>287</v>
      </c>
      <c r="E457" s="65" t="s">
        <v>875</v>
      </c>
      <c r="F457" s="8">
        <v>32</v>
      </c>
      <c r="G457" s="32">
        <v>227</v>
      </c>
    </row>
    <row r="458" spans="1:7" x14ac:dyDescent="0.3">
      <c r="A458" s="3" t="s">
        <v>10</v>
      </c>
      <c r="B458" s="1">
        <v>100</v>
      </c>
      <c r="E458" s="10" t="s">
        <v>11</v>
      </c>
      <c r="F458" s="12">
        <f>SUM(F453:F457)</f>
        <v>100</v>
      </c>
      <c r="G458" s="13">
        <f>(G453*$F453+G454*$F454+G455*$F455+G456*$F456+G457*$F457)/$F458</f>
        <v>356.8</v>
      </c>
    </row>
    <row r="459" spans="1:7" x14ac:dyDescent="0.3">
      <c r="A459" s="3" t="s">
        <v>12</v>
      </c>
      <c r="B459" s="1" t="s">
        <v>13</v>
      </c>
      <c r="E459" s="14"/>
      <c r="F459" s="15"/>
      <c r="G459" s="15"/>
    </row>
    <row r="460" spans="1:7" x14ac:dyDescent="0.3">
      <c r="E460" s="17"/>
      <c r="F460" s="1"/>
      <c r="G460" s="18"/>
    </row>
    <row r="461" spans="1:7" x14ac:dyDescent="0.3">
      <c r="A461" s="3" t="s">
        <v>288</v>
      </c>
    </row>
    <row r="462" spans="1:7" x14ac:dyDescent="0.3">
      <c r="A462" t="s">
        <v>266</v>
      </c>
      <c r="B462" s="1">
        <v>50</v>
      </c>
      <c r="D462" s="9" t="s">
        <v>267</v>
      </c>
      <c r="E462" s="8" t="s">
        <v>268</v>
      </c>
      <c r="F462" s="8">
        <v>50</v>
      </c>
      <c r="G462" s="32">
        <v>345</v>
      </c>
    </row>
    <row r="463" spans="1:7" x14ac:dyDescent="0.3">
      <c r="A463" t="s">
        <v>44</v>
      </c>
      <c r="B463" s="1">
        <v>10</v>
      </c>
      <c r="D463" s="9" t="s">
        <v>45</v>
      </c>
      <c r="E463" s="8" t="s">
        <v>46</v>
      </c>
      <c r="F463" s="8">
        <v>10</v>
      </c>
      <c r="G463" s="32">
        <v>899</v>
      </c>
    </row>
    <row r="464" spans="1:7" x14ac:dyDescent="0.3">
      <c r="A464" t="s">
        <v>88</v>
      </c>
      <c r="B464" s="1">
        <v>5</v>
      </c>
      <c r="D464" s="9" t="s">
        <v>89</v>
      </c>
      <c r="E464" s="8" t="s">
        <v>90</v>
      </c>
      <c r="F464" s="8">
        <v>5</v>
      </c>
      <c r="G464" s="32">
        <v>45</v>
      </c>
    </row>
    <row r="465" spans="1:7" x14ac:dyDescent="0.3">
      <c r="A465" t="s">
        <v>825</v>
      </c>
      <c r="B465" s="1">
        <v>70</v>
      </c>
      <c r="D465" s="65" t="s">
        <v>213</v>
      </c>
      <c r="E465" s="8" t="s">
        <v>825</v>
      </c>
      <c r="F465" s="9">
        <v>70</v>
      </c>
      <c r="G465" s="37">
        <v>100</v>
      </c>
    </row>
    <row r="466" spans="1:7" x14ac:dyDescent="0.3">
      <c r="A466" t="s">
        <v>24</v>
      </c>
      <c r="B466" s="1">
        <v>0.3</v>
      </c>
      <c r="D466" s="9" t="s">
        <v>25</v>
      </c>
      <c r="E466" s="42" t="s">
        <v>26</v>
      </c>
      <c r="F466" s="9">
        <v>0.3</v>
      </c>
      <c r="G466" s="32">
        <v>0</v>
      </c>
    </row>
    <row r="467" spans="1:7" x14ac:dyDescent="0.3">
      <c r="A467" t="s">
        <v>71</v>
      </c>
      <c r="B467" s="1">
        <v>0.1</v>
      </c>
      <c r="D467" s="9" t="s">
        <v>72</v>
      </c>
      <c r="E467" s="8" t="s">
        <v>73</v>
      </c>
      <c r="F467" s="8">
        <v>0.1</v>
      </c>
      <c r="G467" s="32">
        <v>270</v>
      </c>
    </row>
    <row r="468" spans="1:7" x14ac:dyDescent="0.3">
      <c r="A468" t="s">
        <v>279</v>
      </c>
      <c r="B468" s="1">
        <v>2</v>
      </c>
      <c r="D468" s="9" t="s">
        <v>280</v>
      </c>
      <c r="E468" s="8" t="s">
        <v>281</v>
      </c>
      <c r="F468" s="8">
        <v>2</v>
      </c>
      <c r="G468" s="32">
        <v>145</v>
      </c>
    </row>
    <row r="469" spans="1:7" x14ac:dyDescent="0.3">
      <c r="A469" s="3" t="s">
        <v>10</v>
      </c>
      <c r="B469" s="1">
        <v>137.4</v>
      </c>
      <c r="E469" s="10" t="s">
        <v>11</v>
      </c>
      <c r="F469" s="12">
        <f>SUM(F462:F468)</f>
        <v>137.4</v>
      </c>
      <c r="G469" s="13">
        <f>($F462*G462+$F463*G463+G464*$F464+G465*$F465+G466*$F466+G467*$F467+G468*$F468)/$F469</f>
        <v>245.86608442503638</v>
      </c>
    </row>
    <row r="470" spans="1:7" x14ac:dyDescent="0.3">
      <c r="A470" s="3" t="s">
        <v>12</v>
      </c>
      <c r="B470" s="1" t="s">
        <v>13</v>
      </c>
      <c r="E470" s="14"/>
      <c r="F470" s="15"/>
      <c r="G470" s="15"/>
    </row>
    <row r="471" spans="1:7" x14ac:dyDescent="0.3">
      <c r="E471" s="17"/>
      <c r="F471" s="1"/>
      <c r="G471" s="18"/>
    </row>
    <row r="472" spans="1:7" x14ac:dyDescent="0.3">
      <c r="A472" s="3" t="s">
        <v>289</v>
      </c>
    </row>
    <row r="473" spans="1:7" x14ac:dyDescent="0.3">
      <c r="A473" t="s">
        <v>266</v>
      </c>
      <c r="B473" s="1">
        <v>50</v>
      </c>
      <c r="D473" s="9" t="s">
        <v>267</v>
      </c>
      <c r="E473" s="8" t="s">
        <v>268</v>
      </c>
      <c r="F473" s="8">
        <v>50</v>
      </c>
      <c r="G473" s="32">
        <v>345</v>
      </c>
    </row>
    <row r="474" spans="1:7" x14ac:dyDescent="0.3">
      <c r="A474" t="s">
        <v>290</v>
      </c>
      <c r="B474" s="1">
        <v>50</v>
      </c>
      <c r="D474" s="65" t="s">
        <v>291</v>
      </c>
      <c r="E474" s="65" t="s">
        <v>827</v>
      </c>
      <c r="F474" s="8">
        <v>50</v>
      </c>
      <c r="G474" s="1">
        <v>67</v>
      </c>
    </row>
    <row r="475" spans="1:7" x14ac:dyDescent="0.3">
      <c r="A475" t="s">
        <v>44</v>
      </c>
      <c r="B475" s="1">
        <v>10</v>
      </c>
      <c r="D475" s="9" t="s">
        <v>45</v>
      </c>
      <c r="E475" s="8" t="s">
        <v>46</v>
      </c>
      <c r="F475" s="8">
        <v>10</v>
      </c>
      <c r="G475" s="32">
        <v>899</v>
      </c>
    </row>
    <row r="476" spans="1:7" x14ac:dyDescent="0.3">
      <c r="A476" s="3" t="s">
        <v>10</v>
      </c>
      <c r="B476" s="1">
        <v>110</v>
      </c>
      <c r="E476" s="10" t="s">
        <v>11</v>
      </c>
      <c r="F476" s="48">
        <f>SUM(F473:F475)</f>
        <v>110</v>
      </c>
      <c r="G476" s="48">
        <f>($F473*G473+$F474*G474+$F475*G475)/$F476</f>
        <v>269</v>
      </c>
    </row>
    <row r="477" spans="1:7" x14ac:dyDescent="0.3">
      <c r="A477" s="3" t="s">
        <v>12</v>
      </c>
      <c r="B477" s="1" t="s">
        <v>13</v>
      </c>
      <c r="E477" s="14"/>
      <c r="F477" s="15"/>
      <c r="G477" s="16"/>
    </row>
    <row r="478" spans="1:7" x14ac:dyDescent="0.3">
      <c r="E478" s="17"/>
      <c r="F478" s="1"/>
      <c r="G478" s="18"/>
    </row>
    <row r="479" spans="1:7" x14ac:dyDescent="0.3">
      <c r="A479" s="3" t="s">
        <v>292</v>
      </c>
    </row>
    <row r="480" spans="1:7" x14ac:dyDescent="0.3">
      <c r="A480" t="s">
        <v>266</v>
      </c>
      <c r="B480" s="1">
        <v>50</v>
      </c>
      <c r="D480" s="9" t="s">
        <v>267</v>
      </c>
      <c r="E480" s="8" t="s">
        <v>268</v>
      </c>
      <c r="F480" s="8">
        <v>50</v>
      </c>
      <c r="G480" s="32">
        <v>345</v>
      </c>
    </row>
    <row r="481" spans="1:7" x14ac:dyDescent="0.3">
      <c r="A481" t="s">
        <v>44</v>
      </c>
      <c r="B481" s="1">
        <v>10</v>
      </c>
      <c r="D481" s="9" t="s">
        <v>45</v>
      </c>
      <c r="E481" s="8" t="s">
        <v>46</v>
      </c>
      <c r="F481" s="8">
        <v>10</v>
      </c>
      <c r="G481" s="32">
        <v>899</v>
      </c>
    </row>
    <row r="482" spans="1:7" x14ac:dyDescent="0.3">
      <c r="A482" t="s">
        <v>126</v>
      </c>
      <c r="B482" s="1">
        <v>15</v>
      </c>
      <c r="D482" s="9" t="s">
        <v>127</v>
      </c>
      <c r="E482" s="8" t="s">
        <v>128</v>
      </c>
      <c r="F482" s="8">
        <v>15</v>
      </c>
      <c r="G482" s="32">
        <v>28</v>
      </c>
    </row>
    <row r="483" spans="1:7" x14ac:dyDescent="0.3">
      <c r="A483" t="s">
        <v>825</v>
      </c>
      <c r="B483" s="1">
        <v>70</v>
      </c>
      <c r="D483" s="65" t="s">
        <v>213</v>
      </c>
      <c r="E483" s="8" t="s">
        <v>825</v>
      </c>
      <c r="F483" s="9">
        <v>70</v>
      </c>
      <c r="G483" s="37">
        <v>100</v>
      </c>
    </row>
    <row r="484" spans="1:7" x14ac:dyDescent="0.3">
      <c r="A484" t="s">
        <v>105</v>
      </c>
      <c r="B484" s="1">
        <v>2</v>
      </c>
      <c r="D484" s="9" t="s">
        <v>106</v>
      </c>
      <c r="E484" s="8" t="s">
        <v>107</v>
      </c>
      <c r="F484" s="9">
        <v>2</v>
      </c>
      <c r="G484" s="32">
        <v>30</v>
      </c>
    </row>
    <row r="485" spans="1:7" x14ac:dyDescent="0.3">
      <c r="A485" t="s">
        <v>24</v>
      </c>
      <c r="B485" s="1">
        <v>0.3</v>
      </c>
      <c r="D485" s="9" t="s">
        <v>25</v>
      </c>
      <c r="E485" s="8" t="s">
        <v>26</v>
      </c>
      <c r="F485" s="9">
        <v>0.3</v>
      </c>
      <c r="G485" s="32">
        <v>0</v>
      </c>
    </row>
    <row r="486" spans="1:7" x14ac:dyDescent="0.3">
      <c r="A486" t="s">
        <v>71</v>
      </c>
      <c r="B486" s="1">
        <v>0.1</v>
      </c>
      <c r="D486" s="9" t="s">
        <v>72</v>
      </c>
      <c r="E486" s="8" t="s">
        <v>73</v>
      </c>
      <c r="F486" s="8">
        <v>0.1</v>
      </c>
      <c r="G486" s="32">
        <v>270</v>
      </c>
    </row>
    <row r="487" spans="1:7" x14ac:dyDescent="0.3">
      <c r="A487" s="3" t="s">
        <v>10</v>
      </c>
      <c r="B487" s="1">
        <v>147.4</v>
      </c>
      <c r="E487" s="10" t="s">
        <v>11</v>
      </c>
      <c r="F487" s="12">
        <f>SUM(F480:F486)</f>
        <v>147.4</v>
      </c>
      <c r="G487" s="13">
        <f>($F480*G480+$F481*G481+G482*$F482+G483*$F483+G484*$F484+G485*$F485+G486*$F486)/$F487</f>
        <v>228.94843962008142</v>
      </c>
    </row>
    <row r="488" spans="1:7" x14ac:dyDescent="0.3">
      <c r="A488" s="3" t="s">
        <v>12</v>
      </c>
      <c r="B488" s="1" t="s">
        <v>13</v>
      </c>
      <c r="E488" s="14"/>
      <c r="F488" s="15"/>
      <c r="G488" s="15"/>
    </row>
    <row r="489" spans="1:7" x14ac:dyDescent="0.3">
      <c r="E489" s="17"/>
      <c r="F489" s="1"/>
      <c r="G489" s="18"/>
    </row>
    <row r="490" spans="1:7" x14ac:dyDescent="0.3">
      <c r="A490" s="3" t="s">
        <v>293</v>
      </c>
    </row>
    <row r="491" spans="1:7" x14ac:dyDescent="0.3">
      <c r="A491" t="s">
        <v>294</v>
      </c>
      <c r="B491" s="1">
        <v>200</v>
      </c>
      <c r="D491" s="9" t="s">
        <v>295</v>
      </c>
      <c r="E491" s="8" t="s">
        <v>296</v>
      </c>
      <c r="F491" s="8">
        <v>200</v>
      </c>
      <c r="G491" s="32">
        <v>24</v>
      </c>
    </row>
    <row r="492" spans="1:7" x14ac:dyDescent="0.3">
      <c r="A492" t="s">
        <v>44</v>
      </c>
      <c r="B492" s="1">
        <v>10</v>
      </c>
      <c r="D492" s="9" t="s">
        <v>45</v>
      </c>
      <c r="E492" s="8" t="s">
        <v>46</v>
      </c>
      <c r="F492" s="9">
        <v>10</v>
      </c>
      <c r="G492" s="32">
        <v>899</v>
      </c>
    </row>
    <row r="493" spans="1:7" x14ac:dyDescent="0.3">
      <c r="A493" t="s">
        <v>262</v>
      </c>
      <c r="B493" s="1">
        <v>50</v>
      </c>
      <c r="D493" s="9" t="s">
        <v>263</v>
      </c>
      <c r="E493" s="8" t="s">
        <v>264</v>
      </c>
      <c r="F493" s="8">
        <v>50</v>
      </c>
      <c r="G493" s="32">
        <v>5</v>
      </c>
    </row>
    <row r="494" spans="1:7" x14ac:dyDescent="0.3">
      <c r="A494" t="s">
        <v>88</v>
      </c>
      <c r="B494" s="1">
        <v>5</v>
      </c>
      <c r="D494" s="9" t="s">
        <v>89</v>
      </c>
      <c r="E494" s="8" t="s">
        <v>90</v>
      </c>
      <c r="F494" s="8">
        <v>5</v>
      </c>
      <c r="G494" s="32">
        <v>45</v>
      </c>
    </row>
    <row r="495" spans="1:7" x14ac:dyDescent="0.3">
      <c r="A495" t="s">
        <v>105</v>
      </c>
      <c r="B495" s="1">
        <v>2</v>
      </c>
      <c r="D495" s="9" t="s">
        <v>106</v>
      </c>
      <c r="E495" s="8" t="s">
        <v>107</v>
      </c>
      <c r="F495" s="9">
        <v>2</v>
      </c>
      <c r="G495" s="32">
        <v>30</v>
      </c>
    </row>
    <row r="496" spans="1:7" x14ac:dyDescent="0.3">
      <c r="A496" s="3" t="s">
        <v>10</v>
      </c>
      <c r="B496" s="1">
        <v>267</v>
      </c>
      <c r="E496" s="10" t="s">
        <v>11</v>
      </c>
      <c r="F496" s="12">
        <f>SUM(F491:F495)</f>
        <v>267</v>
      </c>
      <c r="G496" s="13">
        <f>(G491*$F491+G492*$F492+G493*$F493+G494*$F494+G495*$F495)/$F496</f>
        <v>53.651685393258425</v>
      </c>
    </row>
    <row r="497" spans="1:7" x14ac:dyDescent="0.3">
      <c r="A497" s="3" t="s">
        <v>12</v>
      </c>
      <c r="B497" s="1" t="s">
        <v>13</v>
      </c>
      <c r="E497" s="14"/>
      <c r="F497" s="15"/>
      <c r="G497" s="15"/>
    </row>
    <row r="498" spans="1:7" x14ac:dyDescent="0.3">
      <c r="E498" s="17"/>
      <c r="F498" s="1"/>
      <c r="G498" s="18"/>
    </row>
    <row r="499" spans="1:7" x14ac:dyDescent="0.3">
      <c r="E499" s="17"/>
      <c r="F499" s="1"/>
      <c r="G499" s="20"/>
    </row>
    <row r="500" spans="1:7" x14ac:dyDescent="0.3">
      <c r="A500" s="3" t="s">
        <v>297</v>
      </c>
    </row>
    <row r="501" spans="1:7" x14ac:dyDescent="0.3">
      <c r="A501" t="s">
        <v>294</v>
      </c>
      <c r="B501" s="1">
        <v>200</v>
      </c>
      <c r="D501" s="9" t="s">
        <v>295</v>
      </c>
      <c r="E501" s="8" t="s">
        <v>296</v>
      </c>
      <c r="F501" s="8">
        <v>200</v>
      </c>
      <c r="G501" s="32">
        <v>24</v>
      </c>
    </row>
    <row r="502" spans="1:7" x14ac:dyDescent="0.3">
      <c r="A502" t="s">
        <v>44</v>
      </c>
      <c r="B502" s="1">
        <v>10</v>
      </c>
      <c r="D502" s="9" t="s">
        <v>45</v>
      </c>
      <c r="E502" s="8" t="s">
        <v>46</v>
      </c>
      <c r="F502" s="8">
        <v>10</v>
      </c>
      <c r="G502" s="32">
        <v>899</v>
      </c>
    </row>
    <row r="503" spans="1:7" x14ac:dyDescent="0.3">
      <c r="A503" t="s">
        <v>24</v>
      </c>
      <c r="B503" s="1">
        <v>0.3</v>
      </c>
      <c r="D503" s="9" t="s">
        <v>25</v>
      </c>
      <c r="E503" s="42" t="s">
        <v>26</v>
      </c>
      <c r="F503" s="9">
        <v>0.3</v>
      </c>
      <c r="G503" s="32">
        <v>0</v>
      </c>
    </row>
    <row r="504" spans="1:7" x14ac:dyDescent="0.3">
      <c r="A504" t="s">
        <v>71</v>
      </c>
      <c r="B504" s="1">
        <v>0.1</v>
      </c>
      <c r="D504" s="9" t="s">
        <v>72</v>
      </c>
      <c r="E504" s="8" t="s">
        <v>73</v>
      </c>
      <c r="F504" s="8">
        <v>0.1</v>
      </c>
      <c r="G504" s="32">
        <v>270</v>
      </c>
    </row>
    <row r="505" spans="1:7" x14ac:dyDescent="0.3">
      <c r="A505" s="3" t="s">
        <v>10</v>
      </c>
      <c r="B505" s="1">
        <v>210.4</v>
      </c>
      <c r="E505" s="10" t="s">
        <v>11</v>
      </c>
      <c r="F505" s="12">
        <f>SUM(F501:F504)</f>
        <v>210.4</v>
      </c>
      <c r="G505" s="13">
        <f>(G501*$F501+G502*$F502+G503*$F503+G504*$F504)/$F505</f>
        <v>65.670152091254749</v>
      </c>
    </row>
    <row r="506" spans="1:7" x14ac:dyDescent="0.3">
      <c r="A506" s="3" t="s">
        <v>12</v>
      </c>
      <c r="B506" s="1" t="s">
        <v>13</v>
      </c>
      <c r="E506" s="14"/>
      <c r="F506" s="15"/>
      <c r="G506" s="15"/>
    </row>
    <row r="507" spans="1:7" x14ac:dyDescent="0.3">
      <c r="E507" s="17"/>
      <c r="F507" s="1"/>
      <c r="G507" s="18"/>
    </row>
    <row r="508" spans="1:7" x14ac:dyDescent="0.3">
      <c r="A508" s="3" t="s">
        <v>876</v>
      </c>
    </row>
    <row r="509" spans="1:7" x14ac:dyDescent="0.3">
      <c r="A509" t="s">
        <v>877</v>
      </c>
      <c r="B509" s="1">
        <v>80</v>
      </c>
      <c r="D509" s="65" t="s">
        <v>298</v>
      </c>
      <c r="E509" s="8" t="s">
        <v>877</v>
      </c>
      <c r="F509" s="9">
        <v>80</v>
      </c>
      <c r="G509" s="1">
        <v>353</v>
      </c>
    </row>
    <row r="510" spans="1:7" x14ac:dyDescent="0.3">
      <c r="A510" t="s">
        <v>44</v>
      </c>
      <c r="B510" s="1">
        <v>10</v>
      </c>
      <c r="D510" s="9" t="s">
        <v>45</v>
      </c>
      <c r="E510" s="8" t="s">
        <v>46</v>
      </c>
      <c r="F510" s="8">
        <v>10</v>
      </c>
      <c r="G510" s="32">
        <v>899</v>
      </c>
    </row>
    <row r="511" spans="1:7" x14ac:dyDescent="0.3">
      <c r="A511" t="s">
        <v>24</v>
      </c>
      <c r="B511" s="1">
        <v>0.3</v>
      </c>
      <c r="D511" s="9" t="s">
        <v>25</v>
      </c>
      <c r="E511" s="42" t="s">
        <v>26</v>
      </c>
      <c r="F511" s="9">
        <v>0.3</v>
      </c>
      <c r="G511" s="32">
        <v>0</v>
      </c>
    </row>
    <row r="512" spans="1:7" x14ac:dyDescent="0.3">
      <c r="A512" s="3" t="s">
        <v>10</v>
      </c>
      <c r="B512" s="1">
        <v>90.3</v>
      </c>
      <c r="E512" s="10" t="s">
        <v>11</v>
      </c>
      <c r="F512" s="12">
        <f>SUM(F509:F511)</f>
        <v>90.3</v>
      </c>
      <c r="G512" s="13">
        <f>(G509*$F509+G510*$F510+G511*$F511)/$F512</f>
        <v>412.2923588039867</v>
      </c>
    </row>
    <row r="513" spans="1:7" x14ac:dyDescent="0.3">
      <c r="A513" s="3" t="s">
        <v>12</v>
      </c>
      <c r="B513" s="1" t="s">
        <v>13</v>
      </c>
      <c r="E513" s="14"/>
      <c r="F513" s="15"/>
      <c r="G513" s="15"/>
    </row>
    <row r="514" spans="1:7" x14ac:dyDescent="0.3">
      <c r="E514" s="17"/>
      <c r="F514" s="1"/>
      <c r="G514" s="18"/>
    </row>
    <row r="515" spans="1:7" x14ac:dyDescent="0.3">
      <c r="A515" s="3" t="s">
        <v>299</v>
      </c>
    </row>
    <row r="516" spans="1:7" x14ac:dyDescent="0.3">
      <c r="A516" t="s">
        <v>300</v>
      </c>
      <c r="B516" s="1">
        <v>100</v>
      </c>
      <c r="D516" s="9" t="s">
        <v>301</v>
      </c>
      <c r="E516" s="8" t="s">
        <v>302</v>
      </c>
      <c r="F516" s="8">
        <v>100</v>
      </c>
      <c r="G516" s="32">
        <v>142</v>
      </c>
    </row>
    <row r="517" spans="1:7" x14ac:dyDescent="0.3">
      <c r="A517" t="s">
        <v>63</v>
      </c>
      <c r="B517" s="1">
        <v>10</v>
      </c>
      <c r="D517" s="9" t="s">
        <v>64</v>
      </c>
      <c r="E517" s="8" t="s">
        <v>65</v>
      </c>
      <c r="F517" s="8">
        <v>10</v>
      </c>
      <c r="G517" s="32">
        <v>758</v>
      </c>
    </row>
    <row r="518" spans="1:7" x14ac:dyDescent="0.3">
      <c r="A518" t="s">
        <v>66</v>
      </c>
      <c r="B518" s="1">
        <v>4</v>
      </c>
      <c r="D518" s="9" t="s">
        <v>67</v>
      </c>
      <c r="E518" s="8" t="s">
        <v>68</v>
      </c>
      <c r="F518" s="8">
        <v>4</v>
      </c>
      <c r="G518" s="32">
        <v>323</v>
      </c>
    </row>
    <row r="519" spans="1:7" x14ac:dyDescent="0.3">
      <c r="A519" t="s">
        <v>126</v>
      </c>
      <c r="B519" s="1">
        <v>40</v>
      </c>
      <c r="D519" s="9" t="s">
        <v>127</v>
      </c>
      <c r="E519" s="8" t="s">
        <v>128</v>
      </c>
      <c r="F519" s="8">
        <v>40</v>
      </c>
      <c r="G519" s="32">
        <v>28</v>
      </c>
    </row>
    <row r="520" spans="1:7" x14ac:dyDescent="0.3">
      <c r="A520" t="s">
        <v>24</v>
      </c>
      <c r="B520" s="1">
        <v>0.3</v>
      </c>
      <c r="D520" s="9" t="s">
        <v>25</v>
      </c>
      <c r="E520" s="42" t="s">
        <v>26</v>
      </c>
      <c r="F520" s="9">
        <v>0.3</v>
      </c>
      <c r="G520" s="32">
        <v>0</v>
      </c>
    </row>
    <row r="521" spans="1:7" x14ac:dyDescent="0.3">
      <c r="A521" t="s">
        <v>71</v>
      </c>
      <c r="B521" s="1">
        <v>0.1</v>
      </c>
      <c r="D521" s="9" t="s">
        <v>72</v>
      </c>
      <c r="E521" s="8" t="s">
        <v>73</v>
      </c>
      <c r="F521" s="8">
        <v>0.1</v>
      </c>
      <c r="G521" s="32">
        <v>270</v>
      </c>
    </row>
    <row r="522" spans="1:7" x14ac:dyDescent="0.3">
      <c r="A522" s="3" t="s">
        <v>10</v>
      </c>
      <c r="B522" s="1">
        <v>154.4</v>
      </c>
      <c r="E522" s="10" t="s">
        <v>11</v>
      </c>
      <c r="F522" s="12">
        <f>SUM(F516:F521)</f>
        <v>154.4</v>
      </c>
      <c r="G522" s="13">
        <f>($F516*G516+G517*$F517+G518*$F518+G519*$F519+G520*$F520+G521*$F521)/$F522</f>
        <v>156.85880829015542</v>
      </c>
    </row>
    <row r="523" spans="1:7" x14ac:dyDescent="0.3">
      <c r="A523" s="3" t="s">
        <v>12</v>
      </c>
      <c r="B523" s="1" t="s">
        <v>13</v>
      </c>
      <c r="E523" s="14"/>
      <c r="F523" s="15"/>
      <c r="G523" s="15"/>
    </row>
    <row r="524" spans="1:7" x14ac:dyDescent="0.3">
      <c r="E524" s="17"/>
      <c r="F524" s="1"/>
      <c r="G524" s="18"/>
    </row>
    <row r="525" spans="1:7" x14ac:dyDescent="0.3">
      <c r="A525" s="3" t="s">
        <v>303</v>
      </c>
    </row>
    <row r="526" spans="1:7" x14ac:dyDescent="0.3">
      <c r="A526" t="s">
        <v>304</v>
      </c>
      <c r="B526" s="1">
        <v>150</v>
      </c>
      <c r="D526" s="9" t="s">
        <v>305</v>
      </c>
      <c r="E526" s="8" t="s">
        <v>306</v>
      </c>
      <c r="F526" s="8">
        <v>150</v>
      </c>
      <c r="G526" s="32">
        <v>71</v>
      </c>
    </row>
    <row r="527" spans="1:7" x14ac:dyDescent="0.3">
      <c r="A527" t="s">
        <v>126</v>
      </c>
      <c r="B527" s="1">
        <v>15</v>
      </c>
      <c r="D527" s="9" t="s">
        <v>127</v>
      </c>
      <c r="E527" s="8" t="s">
        <v>128</v>
      </c>
      <c r="F527" s="8">
        <v>15</v>
      </c>
      <c r="G527" s="32">
        <v>28</v>
      </c>
    </row>
    <row r="528" spans="1:7" x14ac:dyDescent="0.3">
      <c r="A528" t="s">
        <v>846</v>
      </c>
      <c r="B528" s="1">
        <v>15</v>
      </c>
      <c r="D528" s="9" t="s">
        <v>307</v>
      </c>
      <c r="E528" s="8" t="s">
        <v>846</v>
      </c>
      <c r="F528" s="8">
        <v>15</v>
      </c>
      <c r="G528" s="32">
        <v>240</v>
      </c>
    </row>
    <row r="529" spans="1:7" x14ac:dyDescent="0.3">
      <c r="A529" t="s">
        <v>840</v>
      </c>
      <c r="B529" s="1">
        <v>150</v>
      </c>
      <c r="D529" s="9" t="s">
        <v>308</v>
      </c>
      <c r="E529" s="8" t="s">
        <v>840</v>
      </c>
      <c r="F529" s="8">
        <v>150</v>
      </c>
      <c r="G529" s="32">
        <v>21</v>
      </c>
    </row>
    <row r="530" spans="1:7" x14ac:dyDescent="0.3">
      <c r="A530" t="s">
        <v>88</v>
      </c>
      <c r="B530" s="1">
        <v>5</v>
      </c>
      <c r="D530" s="9" t="s">
        <v>89</v>
      </c>
      <c r="E530" s="8" t="s">
        <v>90</v>
      </c>
      <c r="F530" s="8">
        <v>5</v>
      </c>
      <c r="G530" s="32">
        <v>45</v>
      </c>
    </row>
    <row r="531" spans="1:7" x14ac:dyDescent="0.3">
      <c r="A531" t="s">
        <v>44</v>
      </c>
      <c r="B531" s="1">
        <v>10</v>
      </c>
      <c r="D531" s="9" t="s">
        <v>45</v>
      </c>
      <c r="E531" s="8" t="s">
        <v>46</v>
      </c>
      <c r="F531" s="8">
        <v>10</v>
      </c>
      <c r="G531" s="32">
        <v>899</v>
      </c>
    </row>
    <row r="532" spans="1:7" x14ac:dyDescent="0.3">
      <c r="A532" t="s">
        <v>174</v>
      </c>
      <c r="B532" s="1">
        <v>3</v>
      </c>
      <c r="D532" s="9" t="s">
        <v>175</v>
      </c>
      <c r="E532" s="8" t="s">
        <v>176</v>
      </c>
      <c r="F532" s="8">
        <v>3</v>
      </c>
      <c r="G532" s="32">
        <v>49</v>
      </c>
    </row>
    <row r="533" spans="1:7" x14ac:dyDescent="0.3">
      <c r="A533" t="s">
        <v>24</v>
      </c>
      <c r="B533" s="1">
        <v>0.3</v>
      </c>
      <c r="D533" s="9" t="s">
        <v>25</v>
      </c>
      <c r="E533" s="42" t="s">
        <v>26</v>
      </c>
      <c r="F533" s="9">
        <v>0.3</v>
      </c>
      <c r="G533" s="32">
        <v>0</v>
      </c>
    </row>
    <row r="534" spans="1:7" x14ac:dyDescent="0.3">
      <c r="A534" t="s">
        <v>71</v>
      </c>
      <c r="B534" s="1">
        <v>0.1</v>
      </c>
      <c r="D534" s="9" t="s">
        <v>72</v>
      </c>
      <c r="E534" s="8" t="s">
        <v>73</v>
      </c>
      <c r="F534" s="8">
        <v>0.1</v>
      </c>
      <c r="G534" s="32">
        <v>270</v>
      </c>
    </row>
    <row r="535" spans="1:7" x14ac:dyDescent="0.3">
      <c r="A535" s="3" t="s">
        <v>10</v>
      </c>
      <c r="B535" s="1">
        <v>348.4</v>
      </c>
      <c r="E535" s="10" t="s">
        <v>11</v>
      </c>
      <c r="F535" s="12">
        <f>SUM(F526:F534)</f>
        <v>348.40000000000003</v>
      </c>
      <c r="G535" s="13">
        <f>($F526*G526+$F527*G527+$F528*G528+$F529*G529+G530*$F530+G531*$F531+G532*$F532+G533*$F533+G534*$F534)/$F535</f>
        <v>78.097014925373131</v>
      </c>
    </row>
    <row r="536" spans="1:7" x14ac:dyDescent="0.3">
      <c r="A536" s="3" t="s">
        <v>12</v>
      </c>
      <c r="B536" s="1" t="s">
        <v>13</v>
      </c>
      <c r="E536" s="14"/>
      <c r="F536" s="15"/>
      <c r="G536" s="15"/>
    </row>
    <row r="537" spans="1:7" x14ac:dyDescent="0.3">
      <c r="E537" s="17"/>
      <c r="F537" s="1"/>
      <c r="G537" s="18"/>
    </row>
    <row r="538" spans="1:7" x14ac:dyDescent="0.3">
      <c r="A538" s="3" t="s">
        <v>309</v>
      </c>
    </row>
    <row r="539" spans="1:7" x14ac:dyDescent="0.3">
      <c r="A539" t="s">
        <v>310</v>
      </c>
      <c r="B539" s="1">
        <v>100</v>
      </c>
      <c r="D539" s="9" t="s">
        <v>311</v>
      </c>
      <c r="E539" s="8" t="s">
        <v>312</v>
      </c>
      <c r="F539" s="8">
        <v>100</v>
      </c>
      <c r="G539" s="32">
        <v>127</v>
      </c>
    </row>
    <row r="540" spans="1:7" x14ac:dyDescent="0.3">
      <c r="A540" t="s">
        <v>44</v>
      </c>
      <c r="B540" s="1">
        <v>10</v>
      </c>
      <c r="D540" s="9" t="s">
        <v>45</v>
      </c>
      <c r="E540" s="8" t="s">
        <v>46</v>
      </c>
      <c r="F540" s="8">
        <v>10</v>
      </c>
      <c r="G540" s="32">
        <v>899</v>
      </c>
    </row>
    <row r="541" spans="1:7" x14ac:dyDescent="0.3">
      <c r="A541" t="s">
        <v>24</v>
      </c>
      <c r="B541" s="1">
        <v>0.3</v>
      </c>
      <c r="D541" s="9" t="s">
        <v>25</v>
      </c>
      <c r="E541" s="42" t="s">
        <v>26</v>
      </c>
      <c r="F541" s="9">
        <v>0.3</v>
      </c>
      <c r="G541" s="32">
        <v>0</v>
      </c>
    </row>
    <row r="542" spans="1:7" x14ac:dyDescent="0.3">
      <c r="A542" t="s">
        <v>71</v>
      </c>
      <c r="B542" s="1">
        <v>0.1</v>
      </c>
      <c r="D542" s="9" t="s">
        <v>72</v>
      </c>
      <c r="E542" s="8" t="s">
        <v>73</v>
      </c>
      <c r="F542" s="8">
        <v>0.1</v>
      </c>
      <c r="G542" s="32">
        <v>270</v>
      </c>
    </row>
    <row r="543" spans="1:7" x14ac:dyDescent="0.3">
      <c r="A543" s="3" t="s">
        <v>10</v>
      </c>
      <c r="B543" s="1">
        <v>110.4</v>
      </c>
      <c r="E543" s="10" t="s">
        <v>11</v>
      </c>
      <c r="F543" s="12">
        <f>SUM(F539:F542)</f>
        <v>110.39999999999999</v>
      </c>
      <c r="G543" s="13">
        <f>(G539*$F539+G540*$F540+G541*$F541+G542*$F542)/$F543</f>
        <v>196.71195652173915</v>
      </c>
    </row>
    <row r="544" spans="1:7" x14ac:dyDescent="0.3">
      <c r="A544" s="3" t="s">
        <v>12</v>
      </c>
      <c r="B544" s="1" t="s">
        <v>13</v>
      </c>
      <c r="E544" s="14"/>
      <c r="F544" s="15"/>
      <c r="G544" s="15"/>
    </row>
    <row r="545" spans="1:7" x14ac:dyDescent="0.3">
      <c r="E545" s="17"/>
      <c r="F545" s="1"/>
      <c r="G545" s="18"/>
    </row>
    <row r="546" spans="1:7" x14ac:dyDescent="0.3">
      <c r="A546" s="3" t="s">
        <v>313</v>
      </c>
    </row>
    <row r="547" spans="1:7" x14ac:dyDescent="0.3">
      <c r="A547" t="s">
        <v>314</v>
      </c>
      <c r="B547" s="1">
        <v>200</v>
      </c>
      <c r="D547" s="9" t="s">
        <v>315</v>
      </c>
      <c r="E547" s="8" t="s">
        <v>316</v>
      </c>
      <c r="F547" s="8">
        <v>200</v>
      </c>
      <c r="G547" s="32">
        <v>13</v>
      </c>
    </row>
    <row r="548" spans="1:7" x14ac:dyDescent="0.3">
      <c r="A548" t="s">
        <v>63</v>
      </c>
      <c r="B548" s="1">
        <v>10</v>
      </c>
      <c r="D548" s="9" t="s">
        <v>64</v>
      </c>
      <c r="E548" s="8" t="s">
        <v>65</v>
      </c>
      <c r="F548" s="8">
        <v>10</v>
      </c>
      <c r="G548" s="32">
        <v>758</v>
      </c>
    </row>
    <row r="549" spans="1:7" x14ac:dyDescent="0.3">
      <c r="A549" s="67" t="s">
        <v>62</v>
      </c>
      <c r="B549" s="1">
        <v>67.934782608695656</v>
      </c>
      <c r="D549" s="65" t="s">
        <v>159</v>
      </c>
      <c r="E549" s="65" t="s">
        <v>317</v>
      </c>
      <c r="F549" s="75">
        <v>67.934782608695656</v>
      </c>
      <c r="G549" s="72">
        <v>46</v>
      </c>
    </row>
    <row r="550" spans="1:7" x14ac:dyDescent="0.3">
      <c r="A550" s="67" t="s">
        <v>62</v>
      </c>
      <c r="B550" s="1">
        <v>4.0760869565217392</v>
      </c>
      <c r="D550" s="65" t="s">
        <v>64</v>
      </c>
      <c r="E550" s="65" t="s">
        <v>65</v>
      </c>
      <c r="F550" s="75">
        <v>4.0760869565217392</v>
      </c>
      <c r="G550" s="72">
        <v>758</v>
      </c>
    </row>
    <row r="551" spans="1:7" x14ac:dyDescent="0.3">
      <c r="A551" s="67" t="s">
        <v>62</v>
      </c>
      <c r="B551" s="1">
        <v>1.9021739130434783</v>
      </c>
      <c r="D551" s="65" t="s">
        <v>318</v>
      </c>
      <c r="E551" s="65" t="s">
        <v>319</v>
      </c>
      <c r="F551" s="75">
        <v>1.9021739130434783</v>
      </c>
      <c r="G551" s="72">
        <v>321</v>
      </c>
    </row>
    <row r="552" spans="1:7" x14ac:dyDescent="0.3">
      <c r="A552" s="67" t="s">
        <v>62</v>
      </c>
      <c r="B552" s="1">
        <v>0.95108695652173914</v>
      </c>
      <c r="D552" s="65" t="s">
        <v>25</v>
      </c>
      <c r="E552" s="65" t="s">
        <v>26</v>
      </c>
      <c r="F552" s="75">
        <v>0.95108695652173914</v>
      </c>
      <c r="G552" s="72">
        <v>0</v>
      </c>
    </row>
    <row r="553" spans="1:7" x14ac:dyDescent="0.3">
      <c r="A553" s="67" t="s">
        <v>62</v>
      </c>
      <c r="B553" s="1">
        <v>0.1358695652173913</v>
      </c>
      <c r="D553" s="65" t="s">
        <v>75</v>
      </c>
      <c r="E553" s="65" t="s">
        <v>76</v>
      </c>
      <c r="F553" s="75">
        <v>0.1358695652173913</v>
      </c>
      <c r="G553" s="72">
        <v>442</v>
      </c>
    </row>
    <row r="554" spans="1:7" x14ac:dyDescent="0.3">
      <c r="A554" t="s">
        <v>139</v>
      </c>
      <c r="B554" s="1">
        <v>5</v>
      </c>
      <c r="D554" s="9" t="s">
        <v>140</v>
      </c>
      <c r="E554" s="8" t="s">
        <v>141</v>
      </c>
      <c r="F554" s="8">
        <v>5</v>
      </c>
      <c r="G554" s="32">
        <v>387</v>
      </c>
    </row>
    <row r="555" spans="1:7" x14ac:dyDescent="0.3">
      <c r="A555" t="s">
        <v>24</v>
      </c>
      <c r="B555" s="1">
        <v>0.3</v>
      </c>
      <c r="D555" s="9" t="s">
        <v>25</v>
      </c>
      <c r="E555" s="42" t="s">
        <v>26</v>
      </c>
      <c r="F555" s="9">
        <v>0.3</v>
      </c>
      <c r="G555" s="32">
        <v>0</v>
      </c>
    </row>
    <row r="556" spans="1:7" x14ac:dyDescent="0.3">
      <c r="A556" s="3" t="s">
        <v>10</v>
      </c>
      <c r="B556" s="1">
        <v>240.3</v>
      </c>
      <c r="E556" s="10" t="s">
        <v>11</v>
      </c>
      <c r="F556" s="12">
        <f>SUM(F547:F555)</f>
        <v>290.3</v>
      </c>
      <c r="G556" s="13">
        <f>($F547*G547+G548*$F548+G549*$F549+F550*G550+F551*G551+F552*G552+F553*G553+G554*$F554+G555*$F555)/$F556</f>
        <v>65.45065823960222</v>
      </c>
    </row>
    <row r="557" spans="1:7" x14ac:dyDescent="0.3">
      <c r="A557" s="3" t="s">
        <v>12</v>
      </c>
      <c r="B557" s="1" t="s">
        <v>13</v>
      </c>
      <c r="E557" s="14"/>
      <c r="F557" s="15"/>
      <c r="G557" s="15"/>
    </row>
    <row r="558" spans="1:7" x14ac:dyDescent="0.3">
      <c r="A558" s="3"/>
      <c r="E558" s="17"/>
      <c r="F558" s="1"/>
      <c r="G558" s="18"/>
    </row>
    <row r="559" spans="1:7" x14ac:dyDescent="0.3">
      <c r="A559" s="3" t="s">
        <v>320</v>
      </c>
    </row>
    <row r="560" spans="1:7" x14ac:dyDescent="0.3">
      <c r="A560" t="s">
        <v>314</v>
      </c>
      <c r="B560" s="1">
        <v>200</v>
      </c>
      <c r="D560" s="9" t="s">
        <v>315</v>
      </c>
      <c r="E560" s="8" t="s">
        <v>316</v>
      </c>
      <c r="F560" s="8">
        <v>200</v>
      </c>
      <c r="G560" s="32">
        <v>13</v>
      </c>
    </row>
    <row r="561" spans="1:7" x14ac:dyDescent="0.3">
      <c r="A561" t="s">
        <v>44</v>
      </c>
      <c r="B561" s="1">
        <v>10</v>
      </c>
      <c r="D561" s="9" t="s">
        <v>45</v>
      </c>
      <c r="E561" s="8" t="s">
        <v>46</v>
      </c>
      <c r="F561" s="8">
        <v>10</v>
      </c>
      <c r="G561" s="32">
        <v>899</v>
      </c>
    </row>
    <row r="562" spans="1:7" x14ac:dyDescent="0.3">
      <c r="A562" t="s">
        <v>24</v>
      </c>
      <c r="B562" s="1">
        <v>0.3</v>
      </c>
      <c r="D562" s="9" t="s">
        <v>25</v>
      </c>
      <c r="E562" s="42" t="s">
        <v>26</v>
      </c>
      <c r="F562" s="9">
        <v>0.3</v>
      </c>
      <c r="G562" s="32">
        <v>0</v>
      </c>
    </row>
    <row r="563" spans="1:7" x14ac:dyDescent="0.3">
      <c r="A563" t="s">
        <v>71</v>
      </c>
      <c r="B563" s="1">
        <v>0.1</v>
      </c>
      <c r="D563" s="9" t="s">
        <v>72</v>
      </c>
      <c r="E563" s="8" t="s">
        <v>73</v>
      </c>
      <c r="F563" s="8">
        <v>0.1</v>
      </c>
      <c r="G563" s="32">
        <v>270</v>
      </c>
    </row>
    <row r="564" spans="1:7" x14ac:dyDescent="0.3">
      <c r="A564" s="3" t="s">
        <v>10</v>
      </c>
      <c r="B564" s="1">
        <v>210.4</v>
      </c>
      <c r="E564" s="10" t="s">
        <v>11</v>
      </c>
      <c r="F564" s="12">
        <f>SUM(F560:F563)</f>
        <v>210.4</v>
      </c>
      <c r="G564" s="13">
        <f>(G560*$F560+G561*$F561+G562*$F562+G563*$F563)/$F564</f>
        <v>55.213878326996195</v>
      </c>
    </row>
    <row r="565" spans="1:7" x14ac:dyDescent="0.3">
      <c r="A565" s="3" t="s">
        <v>12</v>
      </c>
      <c r="B565" s="1" t="s">
        <v>13</v>
      </c>
      <c r="E565" s="14"/>
      <c r="F565" s="15"/>
      <c r="G565" s="15"/>
    </row>
    <row r="566" spans="1:7" x14ac:dyDescent="0.3">
      <c r="E566" s="17"/>
      <c r="F566" s="1"/>
      <c r="G566" s="18"/>
    </row>
    <row r="567" spans="1:7" x14ac:dyDescent="0.3">
      <c r="A567" s="3" t="s">
        <v>321</v>
      </c>
    </row>
    <row r="568" spans="1:7" x14ac:dyDescent="0.3">
      <c r="A568" t="s">
        <v>314</v>
      </c>
      <c r="B568" s="1">
        <v>150</v>
      </c>
      <c r="D568" s="9" t="s">
        <v>315</v>
      </c>
      <c r="E568" s="8" t="s">
        <v>316</v>
      </c>
      <c r="F568" s="8">
        <v>150</v>
      </c>
      <c r="G568" s="32">
        <v>13</v>
      </c>
    </row>
    <row r="569" spans="1:7" x14ac:dyDescent="0.3">
      <c r="A569" t="s">
        <v>322</v>
      </c>
      <c r="B569" s="1">
        <v>50</v>
      </c>
      <c r="D569" s="9" t="s">
        <v>323</v>
      </c>
      <c r="E569" s="8" t="s">
        <v>324</v>
      </c>
      <c r="F569" s="8">
        <v>50</v>
      </c>
      <c r="G569" s="32">
        <v>37</v>
      </c>
    </row>
    <row r="570" spans="1:7" x14ac:dyDescent="0.3">
      <c r="A570" t="s">
        <v>44</v>
      </c>
      <c r="B570" s="1">
        <v>10</v>
      </c>
      <c r="D570" s="9" t="s">
        <v>45</v>
      </c>
      <c r="E570" s="8" t="s">
        <v>46</v>
      </c>
      <c r="F570" s="8">
        <v>10</v>
      </c>
      <c r="G570" s="32">
        <v>899</v>
      </c>
    </row>
    <row r="571" spans="1:7" x14ac:dyDescent="0.3">
      <c r="A571" t="s">
        <v>24</v>
      </c>
      <c r="B571" s="1">
        <v>0.3</v>
      </c>
      <c r="D571" s="9" t="s">
        <v>25</v>
      </c>
      <c r="E571" s="42" t="s">
        <v>26</v>
      </c>
      <c r="F571" s="9">
        <v>0.3</v>
      </c>
      <c r="G571" s="32">
        <v>0</v>
      </c>
    </row>
    <row r="572" spans="1:7" x14ac:dyDescent="0.3">
      <c r="A572" t="s">
        <v>71</v>
      </c>
      <c r="B572" s="1">
        <v>0.1</v>
      </c>
      <c r="D572" s="9" t="s">
        <v>72</v>
      </c>
      <c r="E572" s="8" t="s">
        <v>73</v>
      </c>
      <c r="F572" s="8">
        <v>0.1</v>
      </c>
      <c r="G572" s="32">
        <v>270</v>
      </c>
    </row>
    <row r="573" spans="1:7" x14ac:dyDescent="0.3">
      <c r="A573" s="3" t="s">
        <v>10</v>
      </c>
      <c r="B573" s="1">
        <v>210.4</v>
      </c>
      <c r="E573" s="10" t="s">
        <v>11</v>
      </c>
      <c r="F573" s="12">
        <f>SUM(F568:F572)</f>
        <v>210.4</v>
      </c>
      <c r="G573" s="13">
        <f>($F568*G568+G569*$F569+G570*$F570+G571*$F571+G572*$F572)/$F573</f>
        <v>60.917300380228134</v>
      </c>
    </row>
    <row r="574" spans="1:7" x14ac:dyDescent="0.3">
      <c r="A574" s="3" t="s">
        <v>12</v>
      </c>
      <c r="B574" s="1" t="s">
        <v>13</v>
      </c>
      <c r="E574" s="14"/>
      <c r="F574" s="15"/>
      <c r="G574" s="15"/>
    </row>
    <row r="575" spans="1:7" x14ac:dyDescent="0.3">
      <c r="E575" s="17"/>
      <c r="F575" s="1"/>
      <c r="G575" s="18"/>
    </row>
    <row r="576" spans="1:7" x14ac:dyDescent="0.3">
      <c r="A576" s="3" t="s">
        <v>325</v>
      </c>
    </row>
    <row r="577" spans="1:7" x14ac:dyDescent="0.3">
      <c r="A577" t="s">
        <v>314</v>
      </c>
      <c r="B577" s="1">
        <v>200</v>
      </c>
      <c r="D577" s="9" t="s">
        <v>315</v>
      </c>
      <c r="E577" s="8" t="s">
        <v>316</v>
      </c>
      <c r="F577" s="8">
        <v>200</v>
      </c>
      <c r="G577" s="32">
        <v>13</v>
      </c>
    </row>
    <row r="578" spans="1:7" x14ac:dyDescent="0.3">
      <c r="A578" t="s">
        <v>44</v>
      </c>
      <c r="B578" s="1">
        <v>10</v>
      </c>
      <c r="D578" s="9" t="s">
        <v>45</v>
      </c>
      <c r="E578" s="8" t="s">
        <v>46</v>
      </c>
      <c r="F578" s="8">
        <v>10</v>
      </c>
      <c r="G578" s="32">
        <v>899</v>
      </c>
    </row>
    <row r="579" spans="1:7" x14ac:dyDescent="0.3">
      <c r="A579" t="s">
        <v>88</v>
      </c>
      <c r="B579" s="1">
        <v>2</v>
      </c>
      <c r="D579" s="9" t="s">
        <v>89</v>
      </c>
      <c r="E579" s="8" t="s">
        <v>90</v>
      </c>
      <c r="F579" s="8">
        <v>2</v>
      </c>
      <c r="G579" s="32">
        <v>45</v>
      </c>
    </row>
    <row r="580" spans="1:7" x14ac:dyDescent="0.3">
      <c r="A580" t="s">
        <v>24</v>
      </c>
      <c r="B580" s="1">
        <v>0.3</v>
      </c>
      <c r="D580" s="9" t="s">
        <v>25</v>
      </c>
      <c r="E580" s="42" t="s">
        <v>26</v>
      </c>
      <c r="F580" s="9">
        <v>0.3</v>
      </c>
      <c r="G580" s="32">
        <v>0</v>
      </c>
    </row>
    <row r="581" spans="1:7" x14ac:dyDescent="0.3">
      <c r="A581" s="3" t="s">
        <v>10</v>
      </c>
      <c r="B581" s="1">
        <v>212.3</v>
      </c>
      <c r="E581" s="10" t="s">
        <v>11</v>
      </c>
      <c r="F581" s="12">
        <f>SUM(F577:F580)</f>
        <v>212.3</v>
      </c>
      <c r="G581" s="13">
        <f>(G577*$F577+G578*$F578+G579*$F579+G580*$F580)/$F581</f>
        <v>55.016486104569005</v>
      </c>
    </row>
    <row r="582" spans="1:7" x14ac:dyDescent="0.3">
      <c r="A582" s="3" t="s">
        <v>12</v>
      </c>
      <c r="B582" s="1" t="s">
        <v>13</v>
      </c>
      <c r="E582" s="14"/>
      <c r="F582" s="15"/>
      <c r="G582" s="15"/>
    </row>
    <row r="583" spans="1:7" x14ac:dyDescent="0.3">
      <c r="E583" s="17"/>
      <c r="F583" s="1"/>
      <c r="G583" s="18"/>
    </row>
    <row r="584" spans="1:7" x14ac:dyDescent="0.3">
      <c r="A584" s="3" t="s">
        <v>326</v>
      </c>
    </row>
    <row r="585" spans="1:7" x14ac:dyDescent="0.3">
      <c r="A585" t="s">
        <v>327</v>
      </c>
      <c r="B585" s="1">
        <v>150</v>
      </c>
      <c r="D585" s="9" t="s">
        <v>328</v>
      </c>
      <c r="E585" s="8" t="s">
        <v>329</v>
      </c>
      <c r="F585" s="8">
        <v>150</v>
      </c>
      <c r="G585" s="32">
        <v>30</v>
      </c>
    </row>
    <row r="586" spans="1:7" x14ac:dyDescent="0.3">
      <c r="A586" t="s">
        <v>870</v>
      </c>
      <c r="B586" s="1">
        <v>100</v>
      </c>
      <c r="D586" s="9" t="s">
        <v>330</v>
      </c>
      <c r="E586" s="8" t="s">
        <v>870</v>
      </c>
      <c r="F586" s="8">
        <v>100</v>
      </c>
      <c r="G586" s="32">
        <v>189</v>
      </c>
    </row>
    <row r="587" spans="1:7" x14ac:dyDescent="0.3">
      <c r="A587" s="3" t="s">
        <v>10</v>
      </c>
      <c r="B587" s="1">
        <v>250</v>
      </c>
      <c r="E587" s="10" t="s">
        <v>11</v>
      </c>
      <c r="F587" s="12">
        <f>SUM(F585:F586)</f>
        <v>250</v>
      </c>
      <c r="G587" s="13">
        <f>(G585*$F585+G586*$F586)/$F587</f>
        <v>93.6</v>
      </c>
    </row>
    <row r="588" spans="1:7" x14ac:dyDescent="0.3">
      <c r="A588" s="3" t="s">
        <v>12</v>
      </c>
      <c r="B588" s="1" t="s">
        <v>13</v>
      </c>
      <c r="E588" s="14"/>
      <c r="F588" s="15"/>
      <c r="G588" s="15"/>
    </row>
    <row r="589" spans="1:7" x14ac:dyDescent="0.3">
      <c r="E589" s="17"/>
      <c r="F589" s="1"/>
      <c r="G589" s="18"/>
    </row>
    <row r="590" spans="1:7" x14ac:dyDescent="0.3">
      <c r="A590" s="3" t="s">
        <v>331</v>
      </c>
    </row>
    <row r="591" spans="1:7" x14ac:dyDescent="0.3">
      <c r="A591" t="s">
        <v>327</v>
      </c>
      <c r="B591" s="1">
        <v>150</v>
      </c>
      <c r="D591" s="9" t="s">
        <v>328</v>
      </c>
      <c r="E591" s="8" t="s">
        <v>329</v>
      </c>
      <c r="F591" s="8">
        <v>150</v>
      </c>
      <c r="G591" s="32">
        <v>30</v>
      </c>
    </row>
    <row r="592" spans="1:7" x14ac:dyDescent="0.3">
      <c r="A592" t="s">
        <v>56</v>
      </c>
      <c r="B592" s="1">
        <v>5</v>
      </c>
      <c r="D592" s="9" t="s">
        <v>57</v>
      </c>
      <c r="E592" s="8" t="s">
        <v>58</v>
      </c>
      <c r="F592" s="8">
        <v>5</v>
      </c>
      <c r="G592" s="32">
        <v>392</v>
      </c>
    </row>
    <row r="593" spans="1:7" x14ac:dyDescent="0.3">
      <c r="A593" t="s">
        <v>59</v>
      </c>
      <c r="B593" s="1">
        <v>5</v>
      </c>
      <c r="D593" s="9" t="s">
        <v>60</v>
      </c>
      <c r="E593" s="8" t="s">
        <v>61</v>
      </c>
      <c r="F593" s="8">
        <v>5</v>
      </c>
      <c r="G593" s="32">
        <v>6</v>
      </c>
    </row>
    <row r="594" spans="1:7" x14ac:dyDescent="0.3">
      <c r="A594" s="3" t="s">
        <v>10</v>
      </c>
      <c r="B594" s="1">
        <v>160</v>
      </c>
      <c r="E594" s="10" t="s">
        <v>11</v>
      </c>
      <c r="F594" s="12">
        <f>SUM(F591:F593)</f>
        <v>160</v>
      </c>
      <c r="G594" s="13">
        <f>($F591*G591+G592*$F592+G593*$F593)/$F594</f>
        <v>40.5625</v>
      </c>
    </row>
    <row r="595" spans="1:7" x14ac:dyDescent="0.3">
      <c r="A595" s="3" t="s">
        <v>12</v>
      </c>
      <c r="B595" s="1" t="s">
        <v>13</v>
      </c>
      <c r="E595" s="14"/>
      <c r="F595" s="15"/>
      <c r="G595" s="15"/>
    </row>
    <row r="596" spans="1:7" x14ac:dyDescent="0.3">
      <c r="E596" s="17"/>
      <c r="F596" s="1"/>
      <c r="G596" s="18"/>
    </row>
    <row r="597" spans="1:7" x14ac:dyDescent="0.3">
      <c r="A597" s="3" t="s">
        <v>332</v>
      </c>
    </row>
    <row r="598" spans="1:7" x14ac:dyDescent="0.3">
      <c r="A598" t="s">
        <v>258</v>
      </c>
      <c r="B598" s="1">
        <v>50</v>
      </c>
      <c r="D598" s="9" t="s">
        <v>259</v>
      </c>
      <c r="E598" s="8" t="s">
        <v>260</v>
      </c>
      <c r="F598" s="8">
        <v>50</v>
      </c>
      <c r="G598" s="32">
        <v>128</v>
      </c>
    </row>
    <row r="599" spans="1:7" x14ac:dyDescent="0.3">
      <c r="A599" t="s">
        <v>44</v>
      </c>
      <c r="B599" s="1">
        <v>5</v>
      </c>
      <c r="D599" s="9" t="s">
        <v>45</v>
      </c>
      <c r="E599" s="8" t="s">
        <v>46</v>
      </c>
      <c r="F599" s="8">
        <v>5</v>
      </c>
      <c r="G599" s="32">
        <v>899</v>
      </c>
    </row>
    <row r="600" spans="1:7" x14ac:dyDescent="0.3">
      <c r="A600" t="s">
        <v>24</v>
      </c>
      <c r="B600" s="1">
        <v>0.15</v>
      </c>
      <c r="D600" s="9" t="s">
        <v>25</v>
      </c>
      <c r="E600" s="42" t="s">
        <v>26</v>
      </c>
      <c r="F600" s="9">
        <v>0.15</v>
      </c>
      <c r="G600" s="32">
        <v>0</v>
      </c>
    </row>
    <row r="601" spans="1:7" x14ac:dyDescent="0.3">
      <c r="A601" t="s">
        <v>139</v>
      </c>
      <c r="B601" s="1">
        <v>5</v>
      </c>
      <c r="D601" s="9" t="s">
        <v>140</v>
      </c>
      <c r="E601" s="8" t="s">
        <v>141</v>
      </c>
      <c r="F601" s="8">
        <v>5</v>
      </c>
      <c r="G601" s="32">
        <v>387</v>
      </c>
    </row>
    <row r="602" spans="1:7" x14ac:dyDescent="0.3">
      <c r="A602" s="3" t="s">
        <v>10</v>
      </c>
      <c r="B602" s="1">
        <v>60.15</v>
      </c>
      <c r="E602" s="10" t="s">
        <v>11</v>
      </c>
      <c r="F602" s="12">
        <f>SUM(F598:F601)</f>
        <v>60.15</v>
      </c>
      <c r="G602" s="13">
        <f>($F598*G598+$F599*G599+G600*$F600+G601*$F601)/$F602</f>
        <v>213.30008312551954</v>
      </c>
    </row>
    <row r="603" spans="1:7" x14ac:dyDescent="0.3">
      <c r="A603" s="3" t="s">
        <v>12</v>
      </c>
      <c r="B603" s="1" t="s">
        <v>13</v>
      </c>
      <c r="E603" s="14"/>
      <c r="F603" s="15"/>
      <c r="G603" s="15"/>
    </row>
    <row r="604" spans="1:7" x14ac:dyDescent="0.3">
      <c r="E604" s="17"/>
      <c r="F604" s="1"/>
      <c r="G604" s="18"/>
    </row>
    <row r="605" spans="1:7" x14ac:dyDescent="0.3">
      <c r="A605" s="3" t="s">
        <v>333</v>
      </c>
    </row>
    <row r="606" spans="1:7" x14ac:dyDescent="0.3">
      <c r="A606" t="s">
        <v>258</v>
      </c>
      <c r="B606" s="1">
        <v>50</v>
      </c>
      <c r="D606" s="9" t="s">
        <v>259</v>
      </c>
      <c r="E606" s="8" t="s">
        <v>260</v>
      </c>
      <c r="F606" s="8">
        <v>50</v>
      </c>
      <c r="G606" s="32">
        <v>128</v>
      </c>
    </row>
    <row r="607" spans="1:7" x14ac:dyDescent="0.3">
      <c r="A607" t="s">
        <v>283</v>
      </c>
      <c r="B607" s="1">
        <v>40</v>
      </c>
      <c r="D607" s="9" t="s">
        <v>284</v>
      </c>
      <c r="E607" s="8" t="s">
        <v>285</v>
      </c>
      <c r="F607" s="8">
        <v>40</v>
      </c>
      <c r="G607" s="32">
        <v>35</v>
      </c>
    </row>
    <row r="608" spans="1:7" x14ac:dyDescent="0.3">
      <c r="A608" t="s">
        <v>44</v>
      </c>
      <c r="B608" s="1">
        <v>5</v>
      </c>
      <c r="D608" s="9" t="s">
        <v>45</v>
      </c>
      <c r="E608" s="8" t="s">
        <v>46</v>
      </c>
      <c r="F608" s="8">
        <v>5</v>
      </c>
      <c r="G608" s="32">
        <v>899</v>
      </c>
    </row>
    <row r="609" spans="1:7" x14ac:dyDescent="0.3">
      <c r="A609" t="s">
        <v>24</v>
      </c>
      <c r="B609" s="1">
        <v>0.15</v>
      </c>
      <c r="D609" s="9" t="s">
        <v>25</v>
      </c>
      <c r="E609" s="42" t="s">
        <v>26</v>
      </c>
      <c r="F609" s="9">
        <v>0.15</v>
      </c>
      <c r="G609" s="32">
        <v>0</v>
      </c>
    </row>
    <row r="610" spans="1:7" x14ac:dyDescent="0.3">
      <c r="A610" t="s">
        <v>139</v>
      </c>
      <c r="B610" s="1">
        <v>5</v>
      </c>
      <c r="D610" s="9" t="s">
        <v>140</v>
      </c>
      <c r="E610" s="8" t="s">
        <v>141</v>
      </c>
      <c r="F610" s="8">
        <v>5</v>
      </c>
      <c r="G610" s="32">
        <v>387</v>
      </c>
    </row>
    <row r="611" spans="1:7" x14ac:dyDescent="0.3">
      <c r="A611" s="3" t="s">
        <v>10</v>
      </c>
      <c r="B611" s="1">
        <v>100.15</v>
      </c>
      <c r="E611" s="10" t="s">
        <v>11</v>
      </c>
      <c r="F611" s="12">
        <f>SUM(F606:F610)</f>
        <v>100.15</v>
      </c>
      <c r="G611" s="13">
        <f>($F606*G606+$F607*G607+$F608*G608+G609*$F609+G610*$F610)/$F611</f>
        <v>142.08686969545681</v>
      </c>
    </row>
    <row r="612" spans="1:7" x14ac:dyDescent="0.3">
      <c r="A612" s="3" t="s">
        <v>12</v>
      </c>
      <c r="B612" s="1" t="s">
        <v>13</v>
      </c>
      <c r="E612" s="14"/>
      <c r="F612" s="15"/>
      <c r="G612" s="15"/>
    </row>
    <row r="613" spans="1:7" x14ac:dyDescent="0.3">
      <c r="E613" s="17"/>
      <c r="F613" s="1"/>
      <c r="G613" s="18"/>
    </row>
    <row r="614" spans="1:7" x14ac:dyDescent="0.3">
      <c r="A614" s="3" t="s">
        <v>334</v>
      </c>
    </row>
    <row r="615" spans="1:7" x14ac:dyDescent="0.3">
      <c r="A615" t="s">
        <v>864</v>
      </c>
      <c r="B615" s="1">
        <v>50</v>
      </c>
      <c r="D615" s="9" t="s">
        <v>335</v>
      </c>
      <c r="E615" s="8" t="s">
        <v>864</v>
      </c>
      <c r="F615" s="8">
        <v>50</v>
      </c>
      <c r="G615" s="32">
        <v>32</v>
      </c>
    </row>
    <row r="616" spans="1:7" x14ac:dyDescent="0.3">
      <c r="A616" t="s">
        <v>881</v>
      </c>
      <c r="B616" s="1">
        <v>50</v>
      </c>
      <c r="D616" s="9" t="s">
        <v>336</v>
      </c>
      <c r="E616" s="8" t="s">
        <v>881</v>
      </c>
      <c r="F616" s="8">
        <v>50</v>
      </c>
      <c r="G616" s="32">
        <v>29</v>
      </c>
    </row>
    <row r="617" spans="1:7" x14ac:dyDescent="0.3">
      <c r="A617" t="s">
        <v>882</v>
      </c>
      <c r="B617" s="1">
        <v>50</v>
      </c>
      <c r="D617" s="9" t="s">
        <v>337</v>
      </c>
      <c r="E617" s="8" t="s">
        <v>882</v>
      </c>
      <c r="F617" s="8">
        <v>50</v>
      </c>
      <c r="G617" s="32">
        <v>21</v>
      </c>
    </row>
    <row r="618" spans="1:7" x14ac:dyDescent="0.3">
      <c r="A618" t="s">
        <v>883</v>
      </c>
      <c r="B618" s="1">
        <v>50</v>
      </c>
      <c r="D618" s="9" t="s">
        <v>338</v>
      </c>
      <c r="E618" s="8" t="s">
        <v>883</v>
      </c>
      <c r="F618" s="8">
        <v>50</v>
      </c>
      <c r="G618" s="32">
        <v>23</v>
      </c>
    </row>
    <row r="619" spans="1:7" x14ac:dyDescent="0.3">
      <c r="A619" t="s">
        <v>88</v>
      </c>
      <c r="B619" s="1">
        <v>5</v>
      </c>
      <c r="D619" s="9" t="s">
        <v>89</v>
      </c>
      <c r="E619" s="8" t="s">
        <v>90</v>
      </c>
      <c r="F619" s="8">
        <v>5</v>
      </c>
      <c r="G619" s="32">
        <v>45</v>
      </c>
    </row>
    <row r="620" spans="1:7" x14ac:dyDescent="0.3">
      <c r="A620" t="s">
        <v>44</v>
      </c>
      <c r="B620" s="1">
        <v>10</v>
      </c>
      <c r="D620" s="9" t="s">
        <v>45</v>
      </c>
      <c r="E620" s="42" t="s">
        <v>46</v>
      </c>
      <c r="F620" s="9">
        <v>10</v>
      </c>
      <c r="G620" s="32">
        <v>899</v>
      </c>
    </row>
    <row r="621" spans="1:7" x14ac:dyDescent="0.3">
      <c r="A621" t="s">
        <v>105</v>
      </c>
      <c r="B621" s="1">
        <v>1</v>
      </c>
      <c r="D621" s="9" t="s">
        <v>106</v>
      </c>
      <c r="E621" s="42" t="s">
        <v>107</v>
      </c>
      <c r="F621" s="9">
        <v>1</v>
      </c>
      <c r="G621" s="32">
        <v>30</v>
      </c>
    </row>
    <row r="622" spans="1:7" x14ac:dyDescent="0.3">
      <c r="A622" t="s">
        <v>24</v>
      </c>
      <c r="B622" s="1">
        <v>0.3</v>
      </c>
      <c r="D622" s="9" t="s">
        <v>25</v>
      </c>
      <c r="E622" s="42" t="s">
        <v>26</v>
      </c>
      <c r="F622" s="9">
        <v>0.3</v>
      </c>
      <c r="G622" s="32">
        <v>0</v>
      </c>
    </row>
    <row r="623" spans="1:7" x14ac:dyDescent="0.3">
      <c r="A623" s="3" t="s">
        <v>10</v>
      </c>
      <c r="B623" s="1">
        <v>216.3</v>
      </c>
      <c r="E623" s="10" t="s">
        <v>11</v>
      </c>
      <c r="F623" s="12">
        <f>SUM(F615:F622)</f>
        <v>216.3</v>
      </c>
      <c r="G623" s="13">
        <f>($F615*G615+$F616*G616+$F617*G617+G618*$F618+G619*$F619+G620*$F620+G621*$F621+G622*$F622)/$F623</f>
        <v>67.013407304669443</v>
      </c>
    </row>
    <row r="624" spans="1:7" x14ac:dyDescent="0.3">
      <c r="A624" s="3" t="s">
        <v>12</v>
      </c>
      <c r="B624" s="1" t="s">
        <v>13</v>
      </c>
      <c r="E624" s="14"/>
      <c r="F624" s="15"/>
      <c r="G624" s="15"/>
    </row>
    <row r="625" spans="1:7" x14ac:dyDescent="0.3">
      <c r="E625" s="17"/>
      <c r="F625" s="1"/>
      <c r="G625" s="18"/>
    </row>
    <row r="626" spans="1:7" x14ac:dyDescent="0.3">
      <c r="A626" s="3" t="s">
        <v>339</v>
      </c>
    </row>
    <row r="627" spans="1:7" x14ac:dyDescent="0.3">
      <c r="A627" t="s">
        <v>884</v>
      </c>
      <c r="B627" s="1">
        <v>50</v>
      </c>
      <c r="D627" s="9" t="s">
        <v>9</v>
      </c>
      <c r="E627" s="8" t="s">
        <v>884</v>
      </c>
      <c r="F627" s="8">
        <v>50</v>
      </c>
      <c r="G627" s="32">
        <v>220</v>
      </c>
    </row>
    <row r="628" spans="1:7" x14ac:dyDescent="0.3">
      <c r="A628" t="s">
        <v>870</v>
      </c>
      <c r="B628" s="1">
        <v>50</v>
      </c>
      <c r="D628" s="9" t="s">
        <v>9</v>
      </c>
      <c r="E628" s="65" t="s">
        <v>870</v>
      </c>
      <c r="F628" s="8">
        <v>50</v>
      </c>
      <c r="G628" s="32">
        <v>189</v>
      </c>
    </row>
    <row r="629" spans="1:7" x14ac:dyDescent="0.3">
      <c r="A629" s="3" t="s">
        <v>10</v>
      </c>
      <c r="B629" s="1">
        <v>100</v>
      </c>
      <c r="E629" s="10" t="s">
        <v>11</v>
      </c>
      <c r="F629" s="12">
        <f>SUM(F627:F628)</f>
        <v>100</v>
      </c>
      <c r="G629" s="13">
        <f>(G627*$F627+G628*$F628)/$F629</f>
        <v>204.5</v>
      </c>
    </row>
    <row r="630" spans="1:7" x14ac:dyDescent="0.3">
      <c r="A630" s="3" t="s">
        <v>12</v>
      </c>
      <c r="B630" s="1" t="s">
        <v>13</v>
      </c>
      <c r="E630" s="14"/>
      <c r="F630" s="15"/>
      <c r="G630" s="15"/>
    </row>
    <row r="631" spans="1:7" x14ac:dyDescent="0.3">
      <c r="E631" s="17"/>
      <c r="F631" s="1"/>
      <c r="G631" s="18"/>
    </row>
    <row r="632" spans="1:7" x14ac:dyDescent="0.3">
      <c r="A632" s="3" t="s">
        <v>340</v>
      </c>
    </row>
    <row r="633" spans="1:7" x14ac:dyDescent="0.3">
      <c r="A633" s="67" t="s">
        <v>341</v>
      </c>
      <c r="B633" s="69">
        <v>146.41288433382138</v>
      </c>
      <c r="D633" s="65" t="s">
        <v>275</v>
      </c>
      <c r="E633" s="65" t="s">
        <v>276</v>
      </c>
      <c r="F633" s="69">
        <v>146.41288433382138</v>
      </c>
      <c r="G633">
        <v>80</v>
      </c>
    </row>
    <row r="634" spans="1:7" x14ac:dyDescent="0.3">
      <c r="A634" s="67" t="s">
        <v>341</v>
      </c>
      <c r="B634" s="69">
        <v>43.92386530014641</v>
      </c>
      <c r="D634" s="65" t="s">
        <v>342</v>
      </c>
      <c r="E634" s="65" t="s">
        <v>68</v>
      </c>
      <c r="F634" s="69">
        <v>43.92386530014641</v>
      </c>
      <c r="G634" s="70">
        <v>323</v>
      </c>
    </row>
    <row r="635" spans="1:7" x14ac:dyDescent="0.3">
      <c r="A635" s="67" t="s">
        <v>341</v>
      </c>
      <c r="B635" s="69">
        <v>8.9311859443631043</v>
      </c>
      <c r="D635" s="65" t="s">
        <v>259</v>
      </c>
      <c r="E635" s="65" t="s">
        <v>260</v>
      </c>
      <c r="F635" s="69">
        <v>8.9311859443631043</v>
      </c>
      <c r="G635">
        <v>128</v>
      </c>
    </row>
    <row r="636" spans="1:7" x14ac:dyDescent="0.3">
      <c r="A636" s="67" t="s">
        <v>341</v>
      </c>
      <c r="B636" s="69">
        <v>0.7320644216691069</v>
      </c>
      <c r="D636" s="65" t="s">
        <v>25</v>
      </c>
      <c r="E636" s="65" t="s">
        <v>26</v>
      </c>
      <c r="F636" s="69">
        <v>0.7320644216691069</v>
      </c>
      <c r="G636">
        <v>0</v>
      </c>
    </row>
    <row r="637" spans="1:7" x14ac:dyDescent="0.3">
      <c r="A637" t="s">
        <v>343</v>
      </c>
      <c r="B637" s="1">
        <v>45</v>
      </c>
      <c r="D637" s="9" t="s">
        <v>344</v>
      </c>
      <c r="E637" s="8" t="s">
        <v>345</v>
      </c>
      <c r="F637" s="8">
        <v>45</v>
      </c>
      <c r="G637" s="32">
        <v>324</v>
      </c>
    </row>
    <row r="638" spans="1:7" x14ac:dyDescent="0.3">
      <c r="A638" t="s">
        <v>139</v>
      </c>
      <c r="B638" s="1">
        <v>10</v>
      </c>
      <c r="D638" s="9" t="s">
        <v>140</v>
      </c>
      <c r="E638" s="8" t="s">
        <v>141</v>
      </c>
      <c r="F638" s="8">
        <v>10</v>
      </c>
      <c r="G638" s="32">
        <v>387</v>
      </c>
    </row>
    <row r="639" spans="1:7" x14ac:dyDescent="0.3">
      <c r="A639" t="s">
        <v>850</v>
      </c>
      <c r="B639" s="1">
        <v>13</v>
      </c>
      <c r="D639" s="9" t="s">
        <v>70</v>
      </c>
      <c r="E639" s="8" t="s">
        <v>850</v>
      </c>
      <c r="F639" s="8">
        <v>13</v>
      </c>
      <c r="G639" s="32">
        <v>64</v>
      </c>
    </row>
    <row r="640" spans="1:7" x14ac:dyDescent="0.3">
      <c r="A640" t="s">
        <v>63</v>
      </c>
      <c r="B640" s="1">
        <v>5</v>
      </c>
      <c r="D640" s="9" t="s">
        <v>64</v>
      </c>
      <c r="E640" s="8" t="s">
        <v>65</v>
      </c>
      <c r="F640" s="8">
        <v>5</v>
      </c>
      <c r="G640" s="32">
        <v>758</v>
      </c>
    </row>
    <row r="641" spans="1:13" x14ac:dyDescent="0.3">
      <c r="A641" t="s">
        <v>346</v>
      </c>
      <c r="B641" s="1">
        <v>12</v>
      </c>
      <c r="D641" s="9" t="s">
        <v>347</v>
      </c>
      <c r="E641" s="8" t="s">
        <v>348</v>
      </c>
      <c r="F641" s="8">
        <v>12</v>
      </c>
      <c r="G641" s="32">
        <v>206</v>
      </c>
    </row>
    <row r="642" spans="1:13" x14ac:dyDescent="0.3">
      <c r="A642" t="s">
        <v>71</v>
      </c>
      <c r="B642" s="1">
        <v>0.1</v>
      </c>
      <c r="D642" s="9" t="s">
        <v>72</v>
      </c>
      <c r="E642" s="8" t="s">
        <v>73</v>
      </c>
      <c r="F642" s="8">
        <v>0.1</v>
      </c>
      <c r="G642" s="32">
        <v>270</v>
      </c>
    </row>
    <row r="643" spans="1:13" x14ac:dyDescent="0.3">
      <c r="A643" s="3" t="s">
        <v>10</v>
      </c>
      <c r="B643" s="1">
        <v>235.4</v>
      </c>
      <c r="E643" s="10" t="s">
        <v>11</v>
      </c>
      <c r="F643" s="13">
        <f>SUM(F633:F642)</f>
        <v>285.10000000000002</v>
      </c>
      <c r="G643" s="13">
        <f>(F633*G633+F634*G634+F635*G635+F636*G636+F637*G637+$F637*G637+$F638*G638+G639*$F639+G640*$F640+G641*$F641+G642*$F642)/$F643</f>
        <v>235.68793770442468</v>
      </c>
    </row>
    <row r="644" spans="1:13" x14ac:dyDescent="0.3">
      <c r="A644" s="3" t="s">
        <v>12</v>
      </c>
      <c r="B644" s="1" t="s">
        <v>13</v>
      </c>
      <c r="E644" s="14"/>
      <c r="F644" s="15"/>
      <c r="G644" s="15"/>
    </row>
    <row r="645" spans="1:13" x14ac:dyDescent="0.3">
      <c r="E645" s="17"/>
      <c r="F645" s="1"/>
      <c r="G645" s="18"/>
    </row>
    <row r="646" spans="1:13" x14ac:dyDescent="0.3">
      <c r="A646" s="3" t="s">
        <v>349</v>
      </c>
      <c r="E646" s="17"/>
      <c r="F646" s="1"/>
      <c r="G646" s="18"/>
    </row>
    <row r="647" spans="1:13" x14ac:dyDescent="0.3">
      <c r="A647" s="67" t="s">
        <v>341</v>
      </c>
      <c r="B647" s="69">
        <v>146.41288433382138</v>
      </c>
      <c r="D647" s="65" t="s">
        <v>275</v>
      </c>
      <c r="E647" s="65" t="s">
        <v>276</v>
      </c>
      <c r="F647" s="69">
        <v>146.41288433382138</v>
      </c>
      <c r="G647">
        <v>80</v>
      </c>
    </row>
    <row r="648" spans="1:13" x14ac:dyDescent="0.3">
      <c r="A648" s="67" t="s">
        <v>341</v>
      </c>
      <c r="B648" s="69">
        <v>43.92386530014641</v>
      </c>
      <c r="D648" s="65" t="s">
        <v>342</v>
      </c>
      <c r="E648" s="65" t="s">
        <v>68</v>
      </c>
      <c r="F648" s="69">
        <v>43.92386530014641</v>
      </c>
      <c r="G648" s="70">
        <v>323</v>
      </c>
    </row>
    <row r="649" spans="1:13" x14ac:dyDescent="0.3">
      <c r="A649" s="67" t="s">
        <v>341</v>
      </c>
      <c r="B649" s="69">
        <v>8.9311859443631043</v>
      </c>
      <c r="D649" s="65" t="s">
        <v>259</v>
      </c>
      <c r="E649" s="65" t="s">
        <v>260</v>
      </c>
      <c r="F649" s="69">
        <v>8.9311859443631043</v>
      </c>
      <c r="G649">
        <v>128</v>
      </c>
    </row>
    <row r="650" spans="1:13" x14ac:dyDescent="0.3">
      <c r="A650" s="67" t="s">
        <v>341</v>
      </c>
      <c r="B650" s="69">
        <v>0.7320644216691069</v>
      </c>
      <c r="D650" s="65" t="s">
        <v>25</v>
      </c>
      <c r="E650" s="65" t="s">
        <v>26</v>
      </c>
      <c r="F650" s="69">
        <v>0.7320644216691069</v>
      </c>
      <c r="G650">
        <v>0</v>
      </c>
    </row>
    <row r="651" spans="1:13" x14ac:dyDescent="0.3">
      <c r="A651" s="61" t="s">
        <v>350</v>
      </c>
      <c r="B651" s="69">
        <v>5.5350553505535052</v>
      </c>
      <c r="D651" s="65" t="s">
        <v>175</v>
      </c>
      <c r="E651" s="65" t="s">
        <v>176</v>
      </c>
      <c r="F651" s="69">
        <v>5.5350553505535052</v>
      </c>
      <c r="G651">
        <v>49</v>
      </c>
    </row>
    <row r="652" spans="1:13" x14ac:dyDescent="0.3">
      <c r="A652" s="61" t="s">
        <v>350</v>
      </c>
      <c r="B652" s="71">
        <v>5.5350553505535052</v>
      </c>
      <c r="D652" s="65" t="s">
        <v>45</v>
      </c>
      <c r="E652" s="65" t="s">
        <v>46</v>
      </c>
      <c r="F652" s="69">
        <v>5.5350553505535052</v>
      </c>
      <c r="G652">
        <v>899</v>
      </c>
    </row>
    <row r="653" spans="1:13" x14ac:dyDescent="0.3">
      <c r="A653" s="61" t="s">
        <v>350</v>
      </c>
      <c r="B653" s="71">
        <v>5.5350553505535052</v>
      </c>
      <c r="D653" s="65" t="s">
        <v>351</v>
      </c>
      <c r="E653" s="65" t="s">
        <v>352</v>
      </c>
      <c r="F653" s="69">
        <v>5.5350553505535052</v>
      </c>
      <c r="G653">
        <v>900</v>
      </c>
      <c r="M653" s="69"/>
    </row>
    <row r="654" spans="1:13" x14ac:dyDescent="0.3">
      <c r="A654" s="61" t="s">
        <v>350</v>
      </c>
      <c r="B654" s="71">
        <v>3.3210332103321032</v>
      </c>
      <c r="D654" s="65" t="s">
        <v>353</v>
      </c>
      <c r="E654" s="65" t="s">
        <v>354</v>
      </c>
      <c r="F654" s="69">
        <v>3.3210332103321032</v>
      </c>
      <c r="G654">
        <v>379</v>
      </c>
      <c r="J654" s="65"/>
      <c r="K654" s="65"/>
      <c r="M654" s="69"/>
    </row>
    <row r="655" spans="1:13" x14ac:dyDescent="0.3">
      <c r="A655" s="61" t="s">
        <v>350</v>
      </c>
      <c r="B655" s="71">
        <v>7.7490774907749076</v>
      </c>
      <c r="D655" s="65" t="s">
        <v>140</v>
      </c>
      <c r="E655" s="65" t="s">
        <v>141</v>
      </c>
      <c r="F655" s="69">
        <v>7.7490774907749076</v>
      </c>
      <c r="G655">
        <v>387</v>
      </c>
      <c r="J655" s="65"/>
      <c r="K655" s="65"/>
      <c r="M655" s="69"/>
    </row>
    <row r="656" spans="1:13" x14ac:dyDescent="0.3">
      <c r="A656" s="61" t="s">
        <v>350</v>
      </c>
      <c r="B656" s="71">
        <v>1.6605166051660516</v>
      </c>
      <c r="D656" s="65" t="s">
        <v>355</v>
      </c>
      <c r="E656" s="65" t="s">
        <v>356</v>
      </c>
      <c r="F656" s="69">
        <v>1.6605166051660516</v>
      </c>
      <c r="G656">
        <v>604</v>
      </c>
      <c r="J656" s="65"/>
      <c r="K656" s="65"/>
      <c r="M656" s="69"/>
    </row>
    <row r="657" spans="1:14" x14ac:dyDescent="0.3">
      <c r="A657" s="61" t="s">
        <v>350</v>
      </c>
      <c r="B657" s="71">
        <v>0.66420664206642066</v>
      </c>
      <c r="D657" s="65" t="s">
        <v>89</v>
      </c>
      <c r="E657" s="65" t="s">
        <v>90</v>
      </c>
      <c r="F657" s="69">
        <v>0.66420664206642066</v>
      </c>
      <c r="G657">
        <v>45</v>
      </c>
      <c r="J657" s="65"/>
      <c r="K657" s="65"/>
      <c r="M657" s="69"/>
    </row>
    <row r="658" spans="1:14" x14ac:dyDescent="0.3">
      <c r="A658" s="3" t="s">
        <v>10</v>
      </c>
      <c r="B658" s="1">
        <v>180</v>
      </c>
      <c r="E658" s="10" t="s">
        <v>11</v>
      </c>
      <c r="F658" s="13">
        <f>SUM(F647:F657)</f>
        <v>230</v>
      </c>
      <c r="G658" s="13">
        <f>(F647*G647+F648*G648+F649*G649+F650*G650+F651*G651+F652*G652+$F652*G652+$F653*G653+G654*$F654+G655*$F655+G656*$F656+G657*$F657)/$F658</f>
        <v>206.6905825720043</v>
      </c>
    </row>
    <row r="659" spans="1:14" x14ac:dyDescent="0.3">
      <c r="A659" s="3" t="s">
        <v>12</v>
      </c>
      <c r="B659" s="1" t="s">
        <v>13</v>
      </c>
      <c r="E659" s="14"/>
      <c r="F659" s="15"/>
      <c r="G659" s="15"/>
    </row>
    <row r="660" spans="1:14" x14ac:dyDescent="0.3">
      <c r="E660" s="17"/>
      <c r="F660" s="1"/>
      <c r="G660" s="18"/>
    </row>
    <row r="661" spans="1:14" x14ac:dyDescent="0.3">
      <c r="E661" s="17"/>
      <c r="F661" s="1"/>
      <c r="G661" s="20"/>
      <c r="I661" s="2"/>
      <c r="J661" s="2"/>
      <c r="K661" s="2"/>
      <c r="L661" s="2"/>
      <c r="M661" s="2"/>
      <c r="N661" s="2"/>
    </row>
    <row r="662" spans="1:14" x14ac:dyDescent="0.3">
      <c r="A662" s="3" t="s">
        <v>357</v>
      </c>
      <c r="I662" s="1"/>
      <c r="J662" s="1"/>
      <c r="K662" s="1"/>
      <c r="L662" s="1"/>
      <c r="M662" s="1"/>
      <c r="N662" s="1"/>
    </row>
    <row r="663" spans="1:14" x14ac:dyDescent="0.3">
      <c r="A663" s="67" t="s">
        <v>341</v>
      </c>
      <c r="B663" s="69">
        <v>146.41288433382138</v>
      </c>
      <c r="D663" s="65" t="s">
        <v>275</v>
      </c>
      <c r="E663" s="65" t="s">
        <v>276</v>
      </c>
      <c r="F663" s="69">
        <v>146.41288433382138</v>
      </c>
      <c r="G663">
        <v>80</v>
      </c>
      <c r="I663" s="1"/>
      <c r="J663" s="1"/>
      <c r="K663" s="1"/>
      <c r="L663" s="1"/>
      <c r="M663" s="1"/>
      <c r="N663" s="1"/>
    </row>
    <row r="664" spans="1:14" x14ac:dyDescent="0.3">
      <c r="A664" s="67" t="s">
        <v>341</v>
      </c>
      <c r="B664" s="69">
        <v>43.92386530014641</v>
      </c>
      <c r="D664" s="65" t="s">
        <v>342</v>
      </c>
      <c r="E664" s="65" t="s">
        <v>68</v>
      </c>
      <c r="F664" s="69">
        <v>43.92386530014641</v>
      </c>
      <c r="G664" s="70">
        <v>323</v>
      </c>
      <c r="I664" s="1"/>
      <c r="J664" s="1"/>
      <c r="K664" s="1"/>
      <c r="L664" s="1"/>
      <c r="M664" s="1"/>
      <c r="N664" s="1"/>
    </row>
    <row r="665" spans="1:14" x14ac:dyDescent="0.3">
      <c r="A665" s="67" t="s">
        <v>341</v>
      </c>
      <c r="B665" s="69">
        <v>8.9311859443631043</v>
      </c>
      <c r="D665" s="65" t="s">
        <v>259</v>
      </c>
      <c r="E665" s="65" t="s">
        <v>260</v>
      </c>
      <c r="F665" s="69">
        <v>8.9311859443631043</v>
      </c>
      <c r="G665">
        <v>128</v>
      </c>
      <c r="I665" s="1"/>
      <c r="J665" s="1"/>
      <c r="K665" s="1"/>
      <c r="L665" s="1"/>
      <c r="M665" s="1"/>
      <c r="N665" s="1"/>
    </row>
    <row r="666" spans="1:14" x14ac:dyDescent="0.3">
      <c r="A666" s="67" t="s">
        <v>341</v>
      </c>
      <c r="B666" s="69">
        <v>0.7320644216691069</v>
      </c>
      <c r="D666" s="65" t="s">
        <v>25</v>
      </c>
      <c r="E666" s="65" t="s">
        <v>26</v>
      </c>
      <c r="F666" s="69">
        <v>0.7320644216691069</v>
      </c>
      <c r="G666">
        <v>0</v>
      </c>
    </row>
    <row r="667" spans="1:14" x14ac:dyDescent="0.3">
      <c r="A667" t="s">
        <v>44</v>
      </c>
      <c r="B667" s="1">
        <v>10</v>
      </c>
      <c r="D667" s="9" t="s">
        <v>45</v>
      </c>
      <c r="E667" s="8" t="s">
        <v>46</v>
      </c>
      <c r="F667" s="8">
        <v>10</v>
      </c>
      <c r="G667" s="32">
        <v>899</v>
      </c>
    </row>
    <row r="668" spans="1:14" x14ac:dyDescent="0.3">
      <c r="A668" t="s">
        <v>126</v>
      </c>
      <c r="B668" s="1">
        <v>15</v>
      </c>
      <c r="D668" s="9" t="s">
        <v>127</v>
      </c>
      <c r="E668" s="8" t="s">
        <v>128</v>
      </c>
      <c r="F668" s="8">
        <v>15</v>
      </c>
      <c r="G668" s="32">
        <v>28</v>
      </c>
    </row>
    <row r="669" spans="1:14" x14ac:dyDescent="0.3">
      <c r="A669" t="s">
        <v>825</v>
      </c>
      <c r="B669" s="1">
        <v>50</v>
      </c>
      <c r="D669" s="65" t="s">
        <v>213</v>
      </c>
      <c r="E669" s="8" t="s">
        <v>825</v>
      </c>
      <c r="F669" s="9">
        <v>50</v>
      </c>
      <c r="G669" s="37">
        <v>36</v>
      </c>
    </row>
    <row r="670" spans="1:14" x14ac:dyDescent="0.3">
      <c r="A670" t="s">
        <v>139</v>
      </c>
      <c r="B670" s="1">
        <v>5</v>
      </c>
      <c r="D670" s="9" t="s">
        <v>140</v>
      </c>
      <c r="E670" s="8" t="s">
        <v>141</v>
      </c>
      <c r="F670" s="8">
        <v>5</v>
      </c>
      <c r="G670" s="32">
        <v>387</v>
      </c>
    </row>
    <row r="671" spans="1:14" x14ac:dyDescent="0.3">
      <c r="A671" t="s">
        <v>24</v>
      </c>
      <c r="B671" s="1">
        <v>0.3</v>
      </c>
      <c r="D671" s="9" t="s">
        <v>25</v>
      </c>
      <c r="E671" s="42" t="s">
        <v>26</v>
      </c>
      <c r="F671" s="9">
        <v>0.3</v>
      </c>
      <c r="G671" s="32">
        <v>0</v>
      </c>
    </row>
    <row r="672" spans="1:14" x14ac:dyDescent="0.3">
      <c r="A672" s="3" t="s">
        <v>10</v>
      </c>
      <c r="B672" s="1">
        <v>230.3</v>
      </c>
      <c r="E672" s="10" t="s">
        <v>11</v>
      </c>
      <c r="F672" s="13">
        <f>SUM(F663:F671)</f>
        <v>280.3</v>
      </c>
      <c r="G672" s="13">
        <f>(F663*G663+F664*G664+F665*G665+I669*G666*$F666+$F667*G667+$F668*G668+$F669*G669+G670*$F670+G671*$F671)/$F672</f>
        <v>143.37720670542802</v>
      </c>
    </row>
    <row r="673" spans="1:7" x14ac:dyDescent="0.3">
      <c r="A673" s="3" t="s">
        <v>12</v>
      </c>
      <c r="B673" s="1" t="s">
        <v>13</v>
      </c>
      <c r="E673" s="14"/>
      <c r="F673" s="15"/>
      <c r="G673" s="15"/>
    </row>
    <row r="674" spans="1:7" x14ac:dyDescent="0.3">
      <c r="E674" s="17"/>
      <c r="F674" s="1"/>
      <c r="G674" s="18"/>
    </row>
    <row r="675" spans="1:7" x14ac:dyDescent="0.3">
      <c r="E675" s="17"/>
      <c r="F675" s="1"/>
      <c r="G675" s="20"/>
    </row>
    <row r="676" spans="1:7" x14ac:dyDescent="0.3">
      <c r="A676" s="3" t="s">
        <v>358</v>
      </c>
    </row>
    <row r="677" spans="1:7" x14ac:dyDescent="0.3">
      <c r="A677" s="67" t="s">
        <v>341</v>
      </c>
      <c r="B677" s="69">
        <v>146.41288433382138</v>
      </c>
      <c r="D677" s="65" t="s">
        <v>275</v>
      </c>
      <c r="E677" s="65" t="s">
        <v>276</v>
      </c>
      <c r="F677" s="18">
        <v>146.41288433382138</v>
      </c>
      <c r="G677" s="1">
        <v>80</v>
      </c>
    </row>
    <row r="678" spans="1:7" x14ac:dyDescent="0.3">
      <c r="A678" s="67" t="s">
        <v>341</v>
      </c>
      <c r="B678" s="69">
        <v>43.92386530014641</v>
      </c>
      <c r="D678" s="65" t="s">
        <v>342</v>
      </c>
      <c r="E678" s="65" t="s">
        <v>68</v>
      </c>
      <c r="F678" s="18">
        <v>43.92386530014641</v>
      </c>
      <c r="G678" s="72">
        <v>323</v>
      </c>
    </row>
    <row r="679" spans="1:7" x14ac:dyDescent="0.3">
      <c r="A679" s="67" t="s">
        <v>341</v>
      </c>
      <c r="B679" s="69">
        <v>8.9311859443631043</v>
      </c>
      <c r="D679" s="65" t="s">
        <v>259</v>
      </c>
      <c r="E679" s="65" t="s">
        <v>260</v>
      </c>
      <c r="F679" s="18">
        <v>8.9311859443631043</v>
      </c>
      <c r="G679" s="1">
        <v>128</v>
      </c>
    </row>
    <row r="680" spans="1:7" x14ac:dyDescent="0.3">
      <c r="A680" s="67" t="s">
        <v>341</v>
      </c>
      <c r="B680" s="69">
        <v>0.7320644216691069</v>
      </c>
      <c r="D680" s="65" t="s">
        <v>25</v>
      </c>
      <c r="E680" s="65" t="s">
        <v>26</v>
      </c>
      <c r="F680" s="18">
        <v>0.7320644216691069</v>
      </c>
      <c r="G680" s="1">
        <v>0</v>
      </c>
    </row>
    <row r="681" spans="1:7" x14ac:dyDescent="0.3">
      <c r="A681" t="s">
        <v>359</v>
      </c>
      <c r="B681" s="1">
        <v>50</v>
      </c>
      <c r="D681" s="9" t="s">
        <v>360</v>
      </c>
      <c r="E681" s="8" t="s">
        <v>361</v>
      </c>
      <c r="F681" s="63">
        <v>50</v>
      </c>
      <c r="G681" s="32">
        <v>155</v>
      </c>
    </row>
    <row r="682" spans="1:7" x14ac:dyDescent="0.3">
      <c r="A682" t="s">
        <v>123</v>
      </c>
      <c r="B682" s="1">
        <v>15</v>
      </c>
      <c r="D682" s="9" t="s">
        <v>124</v>
      </c>
      <c r="E682" s="8" t="s">
        <v>125</v>
      </c>
      <c r="F682" s="63">
        <v>15</v>
      </c>
      <c r="G682" s="32">
        <v>39</v>
      </c>
    </row>
    <row r="683" spans="1:7" x14ac:dyDescent="0.3">
      <c r="A683" t="s">
        <v>126</v>
      </c>
      <c r="B683" s="1">
        <v>15</v>
      </c>
      <c r="D683" s="9" t="s">
        <v>127</v>
      </c>
      <c r="E683" s="8" t="s">
        <v>128</v>
      </c>
      <c r="F683" s="63">
        <v>15</v>
      </c>
      <c r="G683" s="32">
        <v>28</v>
      </c>
    </row>
    <row r="684" spans="1:7" x14ac:dyDescent="0.3">
      <c r="A684" t="s">
        <v>129</v>
      </c>
      <c r="B684" s="1">
        <v>15</v>
      </c>
      <c r="D684" s="9" t="s">
        <v>130</v>
      </c>
      <c r="E684" s="8" t="s">
        <v>131</v>
      </c>
      <c r="F684" s="63">
        <v>15</v>
      </c>
      <c r="G684" s="32">
        <v>23</v>
      </c>
    </row>
    <row r="685" spans="1:7" x14ac:dyDescent="0.3">
      <c r="A685" t="s">
        <v>44</v>
      </c>
      <c r="B685" s="1">
        <v>10</v>
      </c>
      <c r="D685" s="9" t="s">
        <v>45</v>
      </c>
      <c r="E685" s="8" t="s">
        <v>46</v>
      </c>
      <c r="F685" s="63">
        <v>10</v>
      </c>
      <c r="G685" s="32">
        <v>899</v>
      </c>
    </row>
    <row r="686" spans="1:7" x14ac:dyDescent="0.3">
      <c r="A686" t="s">
        <v>825</v>
      </c>
      <c r="B686" s="1">
        <v>60</v>
      </c>
      <c r="D686" s="65" t="s">
        <v>213</v>
      </c>
      <c r="E686" s="8" t="s">
        <v>825</v>
      </c>
      <c r="F686" s="63">
        <v>60</v>
      </c>
      <c r="G686" s="37">
        <v>36</v>
      </c>
    </row>
    <row r="687" spans="1:7" x14ac:dyDescent="0.3">
      <c r="A687" t="s">
        <v>139</v>
      </c>
      <c r="B687" s="1">
        <v>5</v>
      </c>
      <c r="D687" s="9" t="s">
        <v>140</v>
      </c>
      <c r="E687" s="8" t="s">
        <v>141</v>
      </c>
      <c r="F687" s="63">
        <v>5</v>
      </c>
      <c r="G687" s="32">
        <v>387</v>
      </c>
    </row>
    <row r="688" spans="1:7" x14ac:dyDescent="0.3">
      <c r="A688" t="s">
        <v>24</v>
      </c>
      <c r="B688" s="1">
        <v>0.3</v>
      </c>
      <c r="D688" s="9" t="s">
        <v>25</v>
      </c>
      <c r="E688" s="42" t="s">
        <v>26</v>
      </c>
      <c r="F688" s="63">
        <v>0.3</v>
      </c>
      <c r="G688" s="32">
        <v>0</v>
      </c>
    </row>
    <row r="689" spans="1:7" x14ac:dyDescent="0.3">
      <c r="A689" t="s">
        <v>71</v>
      </c>
      <c r="B689" s="1">
        <v>0.1</v>
      </c>
      <c r="D689" s="9" t="s">
        <v>72</v>
      </c>
      <c r="E689" s="8" t="s">
        <v>73</v>
      </c>
      <c r="F689" s="63">
        <v>0.1</v>
      </c>
      <c r="G689" s="32">
        <v>270</v>
      </c>
    </row>
    <row r="690" spans="1:7" x14ac:dyDescent="0.3">
      <c r="A690" s="3" t="s">
        <v>10</v>
      </c>
      <c r="B690" s="1">
        <v>320.39999999999998</v>
      </c>
      <c r="E690" s="10" t="s">
        <v>11</v>
      </c>
      <c r="F690" s="13">
        <f>SUM(F677:F689)</f>
        <v>370.40000000000003</v>
      </c>
      <c r="G690" s="13">
        <f>($F677*G677+F678*G678+F679*G679+F680*G680+$F681*G681+$F682*G682+$F683*G683+$F684*G684+G685*$F685+G686*$F686+G687*$F687+G688*$F688+G689*$F689)/$F690</f>
        <v>132.97956544149966</v>
      </c>
    </row>
    <row r="691" spans="1:7" x14ac:dyDescent="0.3">
      <c r="A691" s="3" t="s">
        <v>12</v>
      </c>
      <c r="B691" s="1" t="s">
        <v>13</v>
      </c>
      <c r="E691" s="14"/>
      <c r="F691" s="15"/>
      <c r="G691" s="15"/>
    </row>
    <row r="692" spans="1:7" x14ac:dyDescent="0.3">
      <c r="E692" s="17"/>
      <c r="F692" s="1"/>
      <c r="G692" s="18"/>
    </row>
    <row r="693" spans="1:7" x14ac:dyDescent="0.3">
      <c r="E693" s="17"/>
      <c r="F693" s="1"/>
      <c r="G693" s="20"/>
    </row>
    <row r="694" spans="1:7" x14ac:dyDescent="0.3">
      <c r="A694" s="3" t="s">
        <v>362</v>
      </c>
    </row>
    <row r="695" spans="1:7" x14ac:dyDescent="0.3">
      <c r="A695" s="67" t="s">
        <v>341</v>
      </c>
      <c r="B695" s="69">
        <v>146.41288433382138</v>
      </c>
      <c r="D695" s="65" t="s">
        <v>275</v>
      </c>
      <c r="E695" s="65" t="s">
        <v>276</v>
      </c>
      <c r="F695" s="18">
        <v>146.41288433382138</v>
      </c>
      <c r="G695" s="1">
        <v>80</v>
      </c>
    </row>
    <row r="696" spans="1:7" x14ac:dyDescent="0.3">
      <c r="A696" s="67" t="s">
        <v>341</v>
      </c>
      <c r="B696" s="69">
        <v>43.92386530014641</v>
      </c>
      <c r="D696" s="65" t="s">
        <v>342</v>
      </c>
      <c r="E696" s="65" t="s">
        <v>68</v>
      </c>
      <c r="F696" s="18">
        <v>43.92386530014641</v>
      </c>
      <c r="G696" s="72">
        <v>323</v>
      </c>
    </row>
    <row r="697" spans="1:7" x14ac:dyDescent="0.3">
      <c r="A697" s="67" t="s">
        <v>341</v>
      </c>
      <c r="B697" s="69">
        <v>8.9311859443631043</v>
      </c>
      <c r="D697" s="65" t="s">
        <v>259</v>
      </c>
      <c r="E697" s="65" t="s">
        <v>260</v>
      </c>
      <c r="F697" s="18">
        <v>8.9311859443631043</v>
      </c>
      <c r="G697" s="1">
        <v>128</v>
      </c>
    </row>
    <row r="698" spans="1:7" x14ac:dyDescent="0.3">
      <c r="A698" s="67" t="s">
        <v>341</v>
      </c>
      <c r="B698" s="69">
        <v>0.7320644216691069</v>
      </c>
      <c r="D698" s="65" t="s">
        <v>25</v>
      </c>
      <c r="E698" s="65" t="s">
        <v>26</v>
      </c>
      <c r="F698" s="18">
        <v>0.7320644216691069</v>
      </c>
      <c r="G698" s="1">
        <v>0</v>
      </c>
    </row>
    <row r="699" spans="1:7" x14ac:dyDescent="0.3">
      <c r="A699" t="s">
        <v>139</v>
      </c>
      <c r="B699" s="1">
        <v>5</v>
      </c>
      <c r="D699" s="9" t="s">
        <v>140</v>
      </c>
      <c r="E699" s="8" t="s">
        <v>141</v>
      </c>
      <c r="F699" s="8">
        <v>5</v>
      </c>
      <c r="G699" s="32">
        <v>387</v>
      </c>
    </row>
    <row r="700" spans="1:7" x14ac:dyDescent="0.3">
      <c r="A700" t="s">
        <v>279</v>
      </c>
      <c r="B700" s="1">
        <v>5</v>
      </c>
      <c r="D700" s="9" t="s">
        <v>280</v>
      </c>
      <c r="E700" s="8" t="s">
        <v>281</v>
      </c>
      <c r="F700" s="8">
        <v>5</v>
      </c>
      <c r="G700" s="32">
        <v>145</v>
      </c>
    </row>
    <row r="701" spans="1:7" x14ac:dyDescent="0.3">
      <c r="A701" t="s">
        <v>63</v>
      </c>
      <c r="B701" s="1">
        <v>10</v>
      </c>
      <c r="D701" s="9" t="s">
        <v>64</v>
      </c>
      <c r="E701" s="8" t="s">
        <v>65</v>
      </c>
      <c r="F701" s="8">
        <v>10</v>
      </c>
      <c r="G701" s="32">
        <v>758</v>
      </c>
    </row>
    <row r="702" spans="1:7" x14ac:dyDescent="0.3">
      <c r="A702" t="s">
        <v>24</v>
      </c>
      <c r="B702" s="1">
        <v>0.3</v>
      </c>
      <c r="D702" s="9" t="s">
        <v>25</v>
      </c>
      <c r="E702" s="42" t="s">
        <v>26</v>
      </c>
      <c r="F702" s="9">
        <v>0.3</v>
      </c>
      <c r="G702" s="32">
        <v>0</v>
      </c>
    </row>
    <row r="703" spans="1:7" x14ac:dyDescent="0.3">
      <c r="A703" s="3" t="s">
        <v>10</v>
      </c>
      <c r="B703" s="1">
        <v>170.3</v>
      </c>
      <c r="E703" s="10" t="s">
        <v>11</v>
      </c>
      <c r="F703" s="13">
        <f>SUM(F695:F702)</f>
        <v>220.3</v>
      </c>
      <c r="G703" s="13">
        <f>($F695*G695+F696*G696+F697*G697+F698*G698+$F699*G699+$F700*G700+G701*$F701+G702*$F702)/$F703</f>
        <v>169.24026799605755</v>
      </c>
    </row>
    <row r="704" spans="1:7" x14ac:dyDescent="0.3">
      <c r="A704" s="3" t="s">
        <v>12</v>
      </c>
      <c r="B704" s="1" t="s">
        <v>13</v>
      </c>
      <c r="E704" s="14"/>
      <c r="F704" s="15"/>
      <c r="G704" s="15"/>
    </row>
    <row r="705" spans="1:7" x14ac:dyDescent="0.3">
      <c r="E705" s="17"/>
      <c r="F705" s="1"/>
      <c r="G705" s="18"/>
    </row>
    <row r="706" spans="1:7" x14ac:dyDescent="0.3">
      <c r="A706" s="3" t="s">
        <v>363</v>
      </c>
      <c r="E706" s="17"/>
      <c r="F706" s="1"/>
      <c r="G706" s="20"/>
    </row>
    <row r="707" spans="1:7" x14ac:dyDescent="0.3">
      <c r="A707" s="67" t="s">
        <v>341</v>
      </c>
      <c r="B707" s="69">
        <v>146.41288433382138</v>
      </c>
      <c r="D707" s="65" t="s">
        <v>275</v>
      </c>
      <c r="E707" s="65" t="s">
        <v>276</v>
      </c>
      <c r="F707" s="18">
        <v>146.41288433382138</v>
      </c>
      <c r="G707" s="1">
        <v>80</v>
      </c>
    </row>
    <row r="708" spans="1:7" x14ac:dyDescent="0.3">
      <c r="A708" s="67" t="s">
        <v>341</v>
      </c>
      <c r="B708" s="69">
        <v>43.92386530014641</v>
      </c>
      <c r="D708" s="65" t="s">
        <v>342</v>
      </c>
      <c r="E708" s="65" t="s">
        <v>68</v>
      </c>
      <c r="F708" s="18">
        <v>43.92386530014641</v>
      </c>
      <c r="G708" s="72">
        <v>323</v>
      </c>
    </row>
    <row r="709" spans="1:7" x14ac:dyDescent="0.3">
      <c r="A709" s="67" t="s">
        <v>341</v>
      </c>
      <c r="B709" s="69">
        <v>8.9311859443631043</v>
      </c>
      <c r="D709" s="65" t="s">
        <v>259</v>
      </c>
      <c r="E709" s="65" t="s">
        <v>260</v>
      </c>
      <c r="F709" s="18">
        <v>8.9311859443631043</v>
      </c>
      <c r="G709" s="1">
        <v>128</v>
      </c>
    </row>
    <row r="710" spans="1:7" x14ac:dyDescent="0.3">
      <c r="A710" s="67" t="s">
        <v>341</v>
      </c>
      <c r="B710" s="69">
        <v>0.7320644216691069</v>
      </c>
      <c r="D710" s="65" t="s">
        <v>25</v>
      </c>
      <c r="E710" s="65" t="s">
        <v>26</v>
      </c>
      <c r="F710" s="18">
        <v>0.7320644216691069</v>
      </c>
      <c r="G710" s="1">
        <v>0</v>
      </c>
    </row>
    <row r="711" spans="1:7" x14ac:dyDescent="0.3">
      <c r="A711" t="s">
        <v>44</v>
      </c>
      <c r="B711" s="1">
        <v>10</v>
      </c>
      <c r="D711" s="9" t="s">
        <v>45</v>
      </c>
      <c r="E711" s="8" t="s">
        <v>46</v>
      </c>
      <c r="F711" s="8">
        <v>10</v>
      </c>
      <c r="G711" s="32">
        <v>899</v>
      </c>
    </row>
    <row r="712" spans="1:7" x14ac:dyDescent="0.3">
      <c r="A712" t="s">
        <v>139</v>
      </c>
      <c r="B712" s="1">
        <v>5</v>
      </c>
      <c r="D712" s="9" t="s">
        <v>140</v>
      </c>
      <c r="E712" s="8" t="s">
        <v>141</v>
      </c>
      <c r="F712" s="8">
        <v>5</v>
      </c>
      <c r="G712" s="32">
        <v>387</v>
      </c>
    </row>
    <row r="713" spans="1:7" x14ac:dyDescent="0.3">
      <c r="A713" t="s">
        <v>24</v>
      </c>
      <c r="B713" s="1">
        <v>0.3</v>
      </c>
      <c r="D713" s="9" t="s">
        <v>25</v>
      </c>
      <c r="E713" s="42" t="s">
        <v>26</v>
      </c>
      <c r="F713" s="9">
        <v>0.3</v>
      </c>
      <c r="G713" s="32">
        <v>0</v>
      </c>
    </row>
    <row r="714" spans="1:7" x14ac:dyDescent="0.3">
      <c r="A714" s="3" t="s">
        <v>10</v>
      </c>
      <c r="B714" s="1">
        <v>165.3</v>
      </c>
      <c r="E714" s="10" t="s">
        <v>11</v>
      </c>
      <c r="F714" s="13">
        <f>SUM(F707:F713)</f>
        <v>215.3</v>
      </c>
      <c r="G714" s="13">
        <f>(F707*G707+F708*G708+F709*G709+F710*G710+$F710*G710+$F711*G711+G712*$F712+G713*$F713)/$F714</f>
        <v>176.35221105216664</v>
      </c>
    </row>
    <row r="715" spans="1:7" x14ac:dyDescent="0.3">
      <c r="A715" s="3" t="s">
        <v>12</v>
      </c>
      <c r="B715" s="1" t="s">
        <v>13</v>
      </c>
      <c r="E715" s="14"/>
      <c r="F715" s="15"/>
      <c r="G715" s="15"/>
    </row>
    <row r="716" spans="1:7" x14ac:dyDescent="0.3">
      <c r="E716" s="17"/>
      <c r="F716" s="1"/>
      <c r="G716" s="18"/>
    </row>
    <row r="717" spans="1:7" x14ac:dyDescent="0.3">
      <c r="E717" s="17"/>
      <c r="F717" s="1"/>
      <c r="G717" s="20"/>
    </row>
    <row r="718" spans="1:7" x14ac:dyDescent="0.3">
      <c r="A718" s="3" t="s">
        <v>364</v>
      </c>
    </row>
    <row r="719" spans="1:7" x14ac:dyDescent="0.3">
      <c r="A719" t="s">
        <v>359</v>
      </c>
      <c r="B719" s="1">
        <v>100</v>
      </c>
      <c r="D719" s="9" t="s">
        <v>360</v>
      </c>
      <c r="E719" s="8" t="s">
        <v>361</v>
      </c>
      <c r="F719" s="8">
        <v>100</v>
      </c>
      <c r="G719" s="32">
        <v>155</v>
      </c>
    </row>
    <row r="720" spans="1:7" x14ac:dyDescent="0.3">
      <c r="A720" t="s">
        <v>44</v>
      </c>
      <c r="B720" s="1">
        <v>10</v>
      </c>
      <c r="D720" s="9" t="s">
        <v>45</v>
      </c>
      <c r="E720" s="8" t="s">
        <v>46</v>
      </c>
      <c r="F720" s="8">
        <v>10</v>
      </c>
      <c r="G720" s="32">
        <v>899</v>
      </c>
    </row>
    <row r="721" spans="1:7" x14ac:dyDescent="0.3">
      <c r="A721" t="s">
        <v>24</v>
      </c>
      <c r="B721" s="1">
        <v>0.3</v>
      </c>
      <c r="D721" s="9" t="s">
        <v>25</v>
      </c>
      <c r="E721" s="42" t="s">
        <v>26</v>
      </c>
      <c r="F721" s="9">
        <v>0.3</v>
      </c>
      <c r="G721" s="32">
        <v>0</v>
      </c>
    </row>
    <row r="722" spans="1:7" x14ac:dyDescent="0.3">
      <c r="A722" s="3" t="s">
        <v>10</v>
      </c>
      <c r="B722" s="1">
        <v>110.3</v>
      </c>
      <c r="E722" s="10" t="s">
        <v>11</v>
      </c>
      <c r="F722" s="12">
        <f>SUM(F719:F721)</f>
        <v>110.3</v>
      </c>
      <c r="G722" s="13">
        <f>($F719*G719+G720*$F720+G721*$F721)/$F722</f>
        <v>222.03082502266545</v>
      </c>
    </row>
    <row r="723" spans="1:7" x14ac:dyDescent="0.3">
      <c r="A723" s="3" t="s">
        <v>12</v>
      </c>
      <c r="B723" s="1" t="s">
        <v>13</v>
      </c>
      <c r="E723" s="14"/>
      <c r="F723" s="15"/>
      <c r="G723" s="15"/>
    </row>
    <row r="724" spans="1:7" x14ac:dyDescent="0.3">
      <c r="E724" s="17"/>
      <c r="F724" s="1"/>
      <c r="G724" s="18"/>
    </row>
    <row r="725" spans="1:7" x14ac:dyDescent="0.3">
      <c r="E725" s="17"/>
      <c r="F725" s="1"/>
      <c r="G725" s="20"/>
    </row>
    <row r="726" spans="1:7" x14ac:dyDescent="0.3">
      <c r="A726" s="3" t="s">
        <v>365</v>
      </c>
    </row>
    <row r="727" spans="1:7" x14ac:dyDescent="0.3">
      <c r="A727" t="s">
        <v>366</v>
      </c>
      <c r="B727" s="1">
        <v>150</v>
      </c>
      <c r="D727" s="9" t="s">
        <v>367</v>
      </c>
      <c r="E727" s="8" t="s">
        <v>368</v>
      </c>
      <c r="F727" s="8">
        <v>150</v>
      </c>
      <c r="G727" s="32">
        <v>95</v>
      </c>
    </row>
    <row r="728" spans="1:7" x14ac:dyDescent="0.3">
      <c r="A728" t="s">
        <v>44</v>
      </c>
      <c r="B728" s="1">
        <v>10</v>
      </c>
      <c r="D728" s="9" t="s">
        <v>45</v>
      </c>
      <c r="E728" s="8" t="s">
        <v>46</v>
      </c>
      <c r="F728" s="8">
        <v>10</v>
      </c>
      <c r="G728" s="32">
        <v>899</v>
      </c>
    </row>
    <row r="729" spans="1:7" x14ac:dyDescent="0.3">
      <c r="A729" t="s">
        <v>846</v>
      </c>
      <c r="B729" s="1">
        <v>7</v>
      </c>
      <c r="D729" s="9" t="s">
        <v>307</v>
      </c>
      <c r="E729" s="42" t="s">
        <v>846</v>
      </c>
      <c r="F729" s="9">
        <v>7</v>
      </c>
      <c r="G729" s="32">
        <v>240</v>
      </c>
    </row>
    <row r="730" spans="1:7" x14ac:dyDescent="0.3">
      <c r="A730" t="s">
        <v>105</v>
      </c>
      <c r="B730" s="1">
        <v>3</v>
      </c>
      <c r="D730" s="9" t="s">
        <v>106</v>
      </c>
      <c r="E730" s="8" t="s">
        <v>107</v>
      </c>
      <c r="F730" s="8">
        <v>3</v>
      </c>
      <c r="G730" s="32">
        <v>30</v>
      </c>
    </row>
    <row r="731" spans="1:7" x14ac:dyDescent="0.3">
      <c r="A731" s="3" t="s">
        <v>10</v>
      </c>
      <c r="B731" s="1">
        <v>170</v>
      </c>
      <c r="E731" s="10" t="s">
        <v>11</v>
      </c>
      <c r="F731" s="12">
        <f>SUM(F727:F730)</f>
        <v>170</v>
      </c>
      <c r="G731" s="13">
        <f>($F727*G727+$F728*G728+G729*$F729+G730*$F730)/$F731</f>
        <v>147.11764705882354</v>
      </c>
    </row>
    <row r="732" spans="1:7" x14ac:dyDescent="0.3">
      <c r="A732" s="3" t="s">
        <v>12</v>
      </c>
      <c r="B732" s="1" t="s">
        <v>13</v>
      </c>
      <c r="E732" s="14"/>
      <c r="F732" s="15"/>
      <c r="G732" s="15"/>
    </row>
    <row r="733" spans="1:7" x14ac:dyDescent="0.3">
      <c r="E733" s="17"/>
      <c r="F733" s="1"/>
      <c r="G733" s="18"/>
    </row>
    <row r="734" spans="1:7" x14ac:dyDescent="0.3">
      <c r="E734" s="17"/>
      <c r="F734" s="1"/>
      <c r="G734" s="20"/>
    </row>
    <row r="735" spans="1:7" x14ac:dyDescent="0.3">
      <c r="A735" s="3" t="s">
        <v>369</v>
      </c>
    </row>
    <row r="736" spans="1:7" x14ac:dyDescent="0.3">
      <c r="A736" t="s">
        <v>266</v>
      </c>
      <c r="B736" s="1">
        <v>50</v>
      </c>
      <c r="D736" s="9" t="s">
        <v>267</v>
      </c>
      <c r="E736" s="8" t="s">
        <v>268</v>
      </c>
      <c r="F736" s="8">
        <v>50</v>
      </c>
      <c r="G736" s="32">
        <v>345</v>
      </c>
    </row>
    <row r="737" spans="1:7" x14ac:dyDescent="0.3">
      <c r="A737" t="s">
        <v>126</v>
      </c>
      <c r="B737" s="1">
        <v>100</v>
      </c>
      <c r="D737" s="9" t="s">
        <v>127</v>
      </c>
      <c r="E737" s="8" t="s">
        <v>128</v>
      </c>
      <c r="F737" s="8">
        <v>100</v>
      </c>
      <c r="G737" s="32">
        <v>28</v>
      </c>
    </row>
    <row r="738" spans="1:7" x14ac:dyDescent="0.3">
      <c r="A738" t="s">
        <v>44</v>
      </c>
      <c r="B738" s="1">
        <v>10</v>
      </c>
      <c r="D738" s="9" t="s">
        <v>45</v>
      </c>
      <c r="E738" s="42" t="s">
        <v>46</v>
      </c>
      <c r="F738" s="9">
        <v>10</v>
      </c>
      <c r="G738" s="32">
        <v>899</v>
      </c>
    </row>
    <row r="739" spans="1:7" x14ac:dyDescent="0.3">
      <c r="A739" t="s">
        <v>105</v>
      </c>
      <c r="B739" s="1">
        <v>2</v>
      </c>
      <c r="D739" s="9" t="s">
        <v>106</v>
      </c>
      <c r="E739" s="42" t="s">
        <v>107</v>
      </c>
      <c r="F739" s="9">
        <v>2</v>
      </c>
      <c r="G739" s="32">
        <v>30</v>
      </c>
    </row>
    <row r="740" spans="1:7" x14ac:dyDescent="0.3">
      <c r="A740" t="s">
        <v>24</v>
      </c>
      <c r="B740" s="1">
        <v>0.3</v>
      </c>
      <c r="D740" s="9" t="s">
        <v>25</v>
      </c>
      <c r="E740" s="42" t="s">
        <v>26</v>
      </c>
      <c r="F740" s="9">
        <v>0.3</v>
      </c>
      <c r="G740" s="32">
        <v>0</v>
      </c>
    </row>
    <row r="741" spans="1:7" x14ac:dyDescent="0.3">
      <c r="A741" s="3" t="s">
        <v>10</v>
      </c>
      <c r="B741" s="1">
        <v>162.30000000000001</v>
      </c>
      <c r="E741" s="10" t="s">
        <v>11</v>
      </c>
      <c r="F741" s="12">
        <f>SUM(F736:F740)</f>
        <v>162.30000000000001</v>
      </c>
      <c r="G741" s="13">
        <f>($F736*G736+$F737*G737+$F738*G738+G739*$F739+G740*$F740)/$F741</f>
        <v>179.29759704251384</v>
      </c>
    </row>
    <row r="742" spans="1:7" x14ac:dyDescent="0.3">
      <c r="A742" s="3" t="s">
        <v>12</v>
      </c>
      <c r="B742" s="1" t="s">
        <v>13</v>
      </c>
      <c r="E742" s="14"/>
      <c r="F742" s="15"/>
      <c r="G742" s="15"/>
    </row>
    <row r="743" spans="1:7" x14ac:dyDescent="0.3">
      <c r="E743" s="17"/>
      <c r="F743" s="1"/>
      <c r="G743" s="18"/>
    </row>
    <row r="744" spans="1:7" x14ac:dyDescent="0.3">
      <c r="E744" s="17"/>
      <c r="F744" s="1"/>
      <c r="G744" s="20"/>
    </row>
    <row r="745" spans="1:7" x14ac:dyDescent="0.3">
      <c r="A745" s="3" t="s">
        <v>370</v>
      </c>
    </row>
    <row r="746" spans="1:7" x14ac:dyDescent="0.3">
      <c r="A746" t="s">
        <v>266</v>
      </c>
      <c r="B746" s="1">
        <v>50</v>
      </c>
      <c r="D746" s="9" t="s">
        <v>267</v>
      </c>
      <c r="E746" s="8" t="s">
        <v>268</v>
      </c>
      <c r="F746" s="8">
        <v>50</v>
      </c>
      <c r="G746" s="32">
        <v>345</v>
      </c>
    </row>
    <row r="747" spans="1:7" x14ac:dyDescent="0.3">
      <c r="A747" t="s">
        <v>126</v>
      </c>
      <c r="B747" s="1">
        <v>18</v>
      </c>
      <c r="D747" s="9" t="s">
        <v>127</v>
      </c>
      <c r="E747" s="8" t="s">
        <v>128</v>
      </c>
      <c r="F747" s="8">
        <v>18</v>
      </c>
      <c r="G747" s="32">
        <v>28</v>
      </c>
    </row>
    <row r="748" spans="1:7" x14ac:dyDescent="0.3">
      <c r="A748" t="s">
        <v>840</v>
      </c>
      <c r="B748" s="1">
        <v>120</v>
      </c>
      <c r="D748" s="9" t="s">
        <v>308</v>
      </c>
      <c r="E748" s="8" t="s">
        <v>840</v>
      </c>
      <c r="F748" s="8">
        <v>120</v>
      </c>
      <c r="G748" s="32">
        <v>21</v>
      </c>
    </row>
    <row r="749" spans="1:7" x14ac:dyDescent="0.3">
      <c r="A749" t="s">
        <v>44</v>
      </c>
      <c r="B749" s="1">
        <v>10</v>
      </c>
      <c r="D749" s="9" t="s">
        <v>45</v>
      </c>
      <c r="E749" s="8" t="s">
        <v>46</v>
      </c>
      <c r="F749" s="8">
        <v>10</v>
      </c>
      <c r="G749" s="32">
        <v>899</v>
      </c>
    </row>
    <row r="750" spans="1:7" x14ac:dyDescent="0.3">
      <c r="A750" t="s">
        <v>24</v>
      </c>
      <c r="B750" s="1">
        <v>0.3</v>
      </c>
      <c r="D750" s="9" t="s">
        <v>25</v>
      </c>
      <c r="E750" s="42" t="s">
        <v>26</v>
      </c>
      <c r="F750" s="9">
        <v>0.3</v>
      </c>
      <c r="G750" s="32">
        <v>0</v>
      </c>
    </row>
    <row r="751" spans="1:7" x14ac:dyDescent="0.3">
      <c r="A751" s="3" t="s">
        <v>10</v>
      </c>
      <c r="B751" s="1">
        <v>198.3</v>
      </c>
      <c r="E751" s="10" t="s">
        <v>11</v>
      </c>
      <c r="F751" s="12">
        <f>SUM(F746:F750)</f>
        <v>198.3</v>
      </c>
      <c r="G751" s="13">
        <f>($F746*G746+$F747*G747+$F748*G748+G749*$F749+G750*$F750)/$F751</f>
        <v>147.57438224911749</v>
      </c>
    </row>
    <row r="752" spans="1:7" x14ac:dyDescent="0.3">
      <c r="A752" s="3" t="s">
        <v>12</v>
      </c>
      <c r="B752" s="1" t="s">
        <v>13</v>
      </c>
      <c r="E752" s="14"/>
      <c r="F752" s="15"/>
      <c r="G752" s="15"/>
    </row>
    <row r="753" spans="1:7" x14ac:dyDescent="0.3">
      <c r="E753" s="17"/>
      <c r="F753" s="1"/>
      <c r="G753" s="18"/>
    </row>
    <row r="754" spans="1:7" x14ac:dyDescent="0.3">
      <c r="E754" s="17"/>
      <c r="F754" s="1"/>
      <c r="G754" s="20"/>
    </row>
    <row r="755" spans="1:7" x14ac:dyDescent="0.3">
      <c r="A755" s="3" t="s">
        <v>878</v>
      </c>
    </row>
    <row r="756" spans="1:7" x14ac:dyDescent="0.3">
      <c r="A756" t="s">
        <v>877</v>
      </c>
      <c r="B756" s="1">
        <v>80</v>
      </c>
      <c r="D756" s="65" t="s">
        <v>298</v>
      </c>
      <c r="E756" s="8" t="s">
        <v>877</v>
      </c>
      <c r="F756" s="9">
        <v>80</v>
      </c>
      <c r="G756" s="1">
        <v>353</v>
      </c>
    </row>
    <row r="757" spans="1:7" x14ac:dyDescent="0.3">
      <c r="A757" t="s">
        <v>371</v>
      </c>
      <c r="B757" s="1">
        <v>20</v>
      </c>
      <c r="D757" s="9" t="s">
        <v>372</v>
      </c>
      <c r="E757" s="8" t="s">
        <v>373</v>
      </c>
      <c r="F757" s="8">
        <v>20</v>
      </c>
      <c r="G757" s="32">
        <v>20</v>
      </c>
    </row>
    <row r="758" spans="1:7" x14ac:dyDescent="0.3">
      <c r="A758" t="s">
        <v>374</v>
      </c>
      <c r="B758" s="1">
        <v>30</v>
      </c>
      <c r="D758" s="9" t="s">
        <v>375</v>
      </c>
      <c r="E758" s="8" t="s">
        <v>376</v>
      </c>
      <c r="F758" s="8">
        <v>30</v>
      </c>
      <c r="G758" s="32">
        <v>14</v>
      </c>
    </row>
    <row r="759" spans="1:7" x14ac:dyDescent="0.3">
      <c r="A759" t="s">
        <v>849</v>
      </c>
      <c r="B759" s="1">
        <v>20</v>
      </c>
      <c r="D759" s="9" t="s">
        <v>148</v>
      </c>
      <c r="E759" s="8" t="s">
        <v>849</v>
      </c>
      <c r="F759" s="8">
        <v>20</v>
      </c>
      <c r="G759" s="32">
        <v>19</v>
      </c>
    </row>
    <row r="760" spans="1:7" x14ac:dyDescent="0.3">
      <c r="A760" t="s">
        <v>126</v>
      </c>
      <c r="B760" s="1">
        <v>10</v>
      </c>
      <c r="D760" s="9" t="s">
        <v>127</v>
      </c>
      <c r="E760" s="8" t="s">
        <v>128</v>
      </c>
      <c r="F760" s="8">
        <v>10</v>
      </c>
      <c r="G760" s="32">
        <v>28</v>
      </c>
    </row>
    <row r="761" spans="1:7" x14ac:dyDescent="0.3">
      <c r="A761" t="s">
        <v>845</v>
      </c>
      <c r="B761" s="1">
        <v>20</v>
      </c>
      <c r="D761" s="9" t="s">
        <v>377</v>
      </c>
      <c r="E761" s="8" t="s">
        <v>845</v>
      </c>
      <c r="F761" s="8">
        <v>20</v>
      </c>
      <c r="G761" s="32">
        <v>26</v>
      </c>
    </row>
    <row r="762" spans="1:7" x14ac:dyDescent="0.3">
      <c r="A762" t="s">
        <v>44</v>
      </c>
      <c r="B762" s="1">
        <v>10</v>
      </c>
      <c r="D762" s="9" t="s">
        <v>45</v>
      </c>
      <c r="E762" s="8" t="s">
        <v>46</v>
      </c>
      <c r="F762" s="8">
        <v>10</v>
      </c>
      <c r="G762" s="32">
        <v>899</v>
      </c>
    </row>
    <row r="763" spans="1:7" x14ac:dyDescent="0.3">
      <c r="A763" t="s">
        <v>24</v>
      </c>
      <c r="B763" s="1">
        <v>0.3</v>
      </c>
      <c r="D763" s="9" t="s">
        <v>25</v>
      </c>
      <c r="E763" s="42" t="s">
        <v>26</v>
      </c>
      <c r="F763" s="9">
        <v>0.3</v>
      </c>
      <c r="G763" s="32">
        <v>0</v>
      </c>
    </row>
    <row r="764" spans="1:7" x14ac:dyDescent="0.3">
      <c r="A764" t="s">
        <v>174</v>
      </c>
      <c r="B764" s="1">
        <v>3</v>
      </c>
      <c r="D764" s="9" t="s">
        <v>175</v>
      </c>
      <c r="E764" s="8" t="s">
        <v>176</v>
      </c>
      <c r="F764" s="8">
        <v>3</v>
      </c>
      <c r="G764" s="32">
        <v>49</v>
      </c>
    </row>
    <row r="765" spans="1:7" x14ac:dyDescent="0.3">
      <c r="A765" s="3" t="s">
        <v>10</v>
      </c>
      <c r="B765" s="1">
        <v>193.3</v>
      </c>
      <c r="E765" s="10" t="s">
        <v>11</v>
      </c>
      <c r="F765" s="11">
        <f>SUM(F756:F764)</f>
        <v>193.3</v>
      </c>
      <c r="G765" s="13">
        <f>(G756*$F756+G757*$F757+G758*$F758+G759*$F759+G760*$F760+G761*$F761+G762*$F762+G763*$F763+G764*$F764)/$F765</f>
        <v>203.70926021727882</v>
      </c>
    </row>
    <row r="766" spans="1:7" x14ac:dyDescent="0.3">
      <c r="A766" s="3" t="s">
        <v>12</v>
      </c>
      <c r="B766" s="1" t="s">
        <v>13</v>
      </c>
      <c r="E766" s="14"/>
      <c r="F766" s="15"/>
      <c r="G766" s="16"/>
    </row>
    <row r="767" spans="1:7" x14ac:dyDescent="0.3">
      <c r="E767" s="17"/>
      <c r="F767" s="1"/>
      <c r="G767" s="18"/>
    </row>
    <row r="768" spans="1:7" x14ac:dyDescent="0.3">
      <c r="E768" s="17"/>
      <c r="F768" s="1"/>
      <c r="G768" s="20"/>
    </row>
    <row r="769" spans="1:7" x14ac:dyDescent="0.3">
      <c r="A769" s="3" t="s">
        <v>879</v>
      </c>
    </row>
    <row r="770" spans="1:7" x14ac:dyDescent="0.3">
      <c r="A770" t="s">
        <v>379</v>
      </c>
      <c r="B770" s="1">
        <v>25</v>
      </c>
      <c r="D770" s="9" t="s">
        <v>380</v>
      </c>
      <c r="E770" s="8" t="s">
        <v>885</v>
      </c>
      <c r="F770" s="8">
        <v>25</v>
      </c>
      <c r="G770" s="32">
        <v>346</v>
      </c>
    </row>
    <row r="771" spans="1:7" x14ac:dyDescent="0.3">
      <c r="A771" t="s">
        <v>381</v>
      </c>
      <c r="B771" s="1">
        <v>25</v>
      </c>
      <c r="D771" s="9" t="s">
        <v>382</v>
      </c>
      <c r="E771" s="8" t="s">
        <v>857</v>
      </c>
      <c r="F771" s="8">
        <v>25</v>
      </c>
      <c r="G771" s="32">
        <v>334</v>
      </c>
    </row>
    <row r="772" spans="1:7" x14ac:dyDescent="0.3">
      <c r="A772" t="s">
        <v>877</v>
      </c>
      <c r="B772" s="1">
        <v>30</v>
      </c>
      <c r="D772" s="65" t="s">
        <v>298</v>
      </c>
      <c r="E772" s="8" t="s">
        <v>877</v>
      </c>
      <c r="F772" s="9">
        <v>30</v>
      </c>
      <c r="G772" s="1">
        <v>353</v>
      </c>
    </row>
    <row r="773" spans="1:7" x14ac:dyDescent="0.3">
      <c r="A773" t="s">
        <v>44</v>
      </c>
      <c r="B773" s="1">
        <v>10</v>
      </c>
      <c r="D773" s="9" t="s">
        <v>45</v>
      </c>
      <c r="E773" s="8" t="s">
        <v>46</v>
      </c>
      <c r="F773" s="8">
        <v>10</v>
      </c>
      <c r="G773" s="32">
        <v>899</v>
      </c>
    </row>
    <row r="774" spans="1:7" x14ac:dyDescent="0.3">
      <c r="A774" t="s">
        <v>374</v>
      </c>
      <c r="B774" s="1">
        <v>30</v>
      </c>
      <c r="D774" s="9" t="s">
        <v>375</v>
      </c>
      <c r="E774" s="8" t="s">
        <v>376</v>
      </c>
      <c r="F774" s="8">
        <v>30</v>
      </c>
      <c r="G774" s="32">
        <v>14</v>
      </c>
    </row>
    <row r="775" spans="1:7" x14ac:dyDescent="0.3">
      <c r="A775" t="s">
        <v>123</v>
      </c>
      <c r="B775" s="1">
        <v>30</v>
      </c>
      <c r="D775" s="9" t="s">
        <v>124</v>
      </c>
      <c r="E775" s="8" t="s">
        <v>125</v>
      </c>
      <c r="F775" s="8">
        <v>30</v>
      </c>
      <c r="G775" s="32">
        <v>39</v>
      </c>
    </row>
    <row r="776" spans="1:7" x14ac:dyDescent="0.3">
      <c r="A776" t="s">
        <v>383</v>
      </c>
      <c r="B776" s="1">
        <v>30</v>
      </c>
      <c r="D776" s="9" t="s">
        <v>384</v>
      </c>
      <c r="E776" s="8" t="s">
        <v>385</v>
      </c>
      <c r="F776" s="8">
        <v>30</v>
      </c>
      <c r="G776" s="32">
        <v>15</v>
      </c>
    </row>
    <row r="777" spans="1:7" x14ac:dyDescent="0.3">
      <c r="A777" t="s">
        <v>840</v>
      </c>
      <c r="B777" s="1">
        <v>30</v>
      </c>
      <c r="D777" s="9" t="s">
        <v>308</v>
      </c>
      <c r="E777" s="8" t="s">
        <v>840</v>
      </c>
      <c r="F777" s="8">
        <v>30</v>
      </c>
      <c r="G777" s="32">
        <v>21</v>
      </c>
    </row>
    <row r="778" spans="1:7" x14ac:dyDescent="0.3">
      <c r="A778" t="s">
        <v>24</v>
      </c>
      <c r="B778" s="1">
        <v>0.3</v>
      </c>
      <c r="D778" s="9" t="s">
        <v>25</v>
      </c>
      <c r="E778" s="42" t="s">
        <v>26</v>
      </c>
      <c r="F778" s="9">
        <v>0.3</v>
      </c>
      <c r="G778" s="32">
        <v>0</v>
      </c>
    </row>
    <row r="779" spans="1:7" x14ac:dyDescent="0.3">
      <c r="A779" s="3" t="s">
        <v>10</v>
      </c>
      <c r="B779" s="1">
        <v>210.3</v>
      </c>
      <c r="E779" s="10" t="s">
        <v>11</v>
      </c>
      <c r="F779" s="11">
        <f>SUM(F770:F778)</f>
        <v>210.3</v>
      </c>
      <c r="G779" s="13">
        <f>(G770*$F770+G771*$F771+G772*$F772+G773*$F773+G774*$F774+G775*$F775+G776*$F776+G777*$F777+G778*$F778)/$F779</f>
        <v>186.6381359961959</v>
      </c>
    </row>
    <row r="780" spans="1:7" x14ac:dyDescent="0.3">
      <c r="A780" s="3" t="s">
        <v>12</v>
      </c>
      <c r="B780" s="1" t="s">
        <v>13</v>
      </c>
      <c r="E780" s="14"/>
      <c r="F780" s="15"/>
      <c r="G780" s="16"/>
    </row>
    <row r="781" spans="1:7" x14ac:dyDescent="0.3">
      <c r="E781" s="17"/>
      <c r="F781" s="1"/>
      <c r="G781" s="18"/>
    </row>
    <row r="782" spans="1:7" x14ac:dyDescent="0.3">
      <c r="E782" s="17"/>
      <c r="F782" s="1"/>
      <c r="G782" s="20"/>
    </row>
    <row r="783" spans="1:7" x14ac:dyDescent="0.3">
      <c r="A783" s="3" t="s">
        <v>880</v>
      </c>
    </row>
    <row r="784" spans="1:7" x14ac:dyDescent="0.3">
      <c r="A784" t="s">
        <v>857</v>
      </c>
      <c r="B784" s="1">
        <v>25</v>
      </c>
      <c r="D784" s="9" t="s">
        <v>382</v>
      </c>
      <c r="E784" s="8" t="s">
        <v>857</v>
      </c>
      <c r="F784" s="8">
        <v>25</v>
      </c>
      <c r="G784" s="32">
        <v>334</v>
      </c>
    </row>
    <row r="785" spans="1:7" x14ac:dyDescent="0.3">
      <c r="A785" t="s">
        <v>379</v>
      </c>
      <c r="B785" s="1">
        <v>25</v>
      </c>
      <c r="D785" s="9" t="s">
        <v>380</v>
      </c>
      <c r="E785" s="8" t="s">
        <v>885</v>
      </c>
      <c r="F785" s="9">
        <v>25</v>
      </c>
      <c r="G785" s="32">
        <v>346</v>
      </c>
    </row>
    <row r="786" spans="1:7" x14ac:dyDescent="0.3">
      <c r="A786" t="s">
        <v>877</v>
      </c>
      <c r="B786" s="1">
        <v>30</v>
      </c>
      <c r="D786" s="65" t="s">
        <v>298</v>
      </c>
      <c r="E786" s="8" t="s">
        <v>877</v>
      </c>
      <c r="F786" s="8">
        <v>30</v>
      </c>
      <c r="G786" s="1">
        <v>353</v>
      </c>
    </row>
    <row r="787" spans="1:7" x14ac:dyDescent="0.3">
      <c r="A787" t="s">
        <v>270</v>
      </c>
      <c r="B787" s="1">
        <v>50</v>
      </c>
      <c r="D787" s="9" t="s">
        <v>271</v>
      </c>
      <c r="E787" s="8" t="s">
        <v>272</v>
      </c>
      <c r="F787" s="8">
        <v>50</v>
      </c>
      <c r="G787" s="32">
        <v>70</v>
      </c>
    </row>
    <row r="788" spans="1:7" x14ac:dyDescent="0.3">
      <c r="A788" t="s">
        <v>44</v>
      </c>
      <c r="B788" s="1">
        <v>10</v>
      </c>
      <c r="D788" s="9" t="s">
        <v>45</v>
      </c>
      <c r="E788" s="8" t="s">
        <v>46</v>
      </c>
      <c r="F788" s="8">
        <v>10</v>
      </c>
      <c r="G788" s="32">
        <v>899</v>
      </c>
    </row>
    <row r="789" spans="1:7" x14ac:dyDescent="0.3">
      <c r="A789" t="s">
        <v>24</v>
      </c>
      <c r="B789" s="1">
        <v>0.3</v>
      </c>
      <c r="D789" s="9" t="s">
        <v>25</v>
      </c>
      <c r="E789" s="42" t="s">
        <v>26</v>
      </c>
      <c r="F789" s="8">
        <v>0.3</v>
      </c>
      <c r="G789" s="32">
        <v>0</v>
      </c>
    </row>
    <row r="790" spans="1:7" x14ac:dyDescent="0.3">
      <c r="A790" t="s">
        <v>139</v>
      </c>
      <c r="B790" s="1">
        <v>5</v>
      </c>
      <c r="D790" s="9" t="s">
        <v>140</v>
      </c>
      <c r="E790" s="8" t="s">
        <v>141</v>
      </c>
      <c r="F790" s="9">
        <v>5</v>
      </c>
      <c r="G790" s="32">
        <v>387</v>
      </c>
    </row>
    <row r="791" spans="1:7" x14ac:dyDescent="0.3">
      <c r="A791" s="3" t="s">
        <v>10</v>
      </c>
      <c r="B791" s="1">
        <v>145.30000000000001</v>
      </c>
      <c r="E791" s="10" t="s">
        <v>11</v>
      </c>
      <c r="F791" s="12">
        <f>SUM(F784:F790)</f>
        <v>145.30000000000001</v>
      </c>
      <c r="G791" s="13">
        <f>(G784*$F784+G785*$F785+$F786*G786+$F787*G787+$F788*G788+G789*$F789+G790*$F790)/$F791</f>
        <v>289.16035788024772</v>
      </c>
    </row>
    <row r="792" spans="1:7" x14ac:dyDescent="0.3">
      <c r="A792" s="3" t="s">
        <v>12</v>
      </c>
      <c r="B792" s="1" t="s">
        <v>13</v>
      </c>
      <c r="E792" s="14"/>
      <c r="F792" s="15"/>
      <c r="G792" s="15"/>
    </row>
    <row r="793" spans="1:7" x14ac:dyDescent="0.3">
      <c r="E793" s="17"/>
      <c r="F793" s="1"/>
      <c r="G793" s="18"/>
    </row>
    <row r="794" spans="1:7" x14ac:dyDescent="0.3">
      <c r="E794" s="17"/>
      <c r="F794" s="1"/>
      <c r="G794" s="20"/>
    </row>
    <row r="795" spans="1:7" x14ac:dyDescent="0.3">
      <c r="A795" s="3" t="s">
        <v>386</v>
      </c>
    </row>
    <row r="796" spans="1:7" x14ac:dyDescent="0.3">
      <c r="A796" t="s">
        <v>387</v>
      </c>
      <c r="B796" s="1">
        <v>150</v>
      </c>
      <c r="D796" s="9" t="s">
        <v>388</v>
      </c>
      <c r="E796" s="8" t="s">
        <v>389</v>
      </c>
      <c r="F796" s="8">
        <v>150</v>
      </c>
      <c r="G796" s="32">
        <v>71</v>
      </c>
    </row>
    <row r="797" spans="1:7" x14ac:dyDescent="0.3">
      <c r="A797" t="s">
        <v>44</v>
      </c>
      <c r="B797" s="1">
        <v>10</v>
      </c>
      <c r="D797" s="9" t="s">
        <v>45</v>
      </c>
      <c r="E797" s="8" t="s">
        <v>46</v>
      </c>
      <c r="F797" s="8">
        <v>10</v>
      </c>
      <c r="G797" s="32">
        <v>899</v>
      </c>
    </row>
    <row r="798" spans="1:7" x14ac:dyDescent="0.3">
      <c r="A798" t="s">
        <v>105</v>
      </c>
      <c r="B798" s="1">
        <v>3</v>
      </c>
      <c r="D798" s="9" t="s">
        <v>106</v>
      </c>
      <c r="E798" s="42" t="s">
        <v>107</v>
      </c>
      <c r="F798" s="9">
        <v>3</v>
      </c>
      <c r="G798" s="32">
        <v>30</v>
      </c>
    </row>
    <row r="799" spans="1:7" x14ac:dyDescent="0.3">
      <c r="A799" t="s">
        <v>59</v>
      </c>
      <c r="B799" s="1">
        <v>5</v>
      </c>
      <c r="D799" s="9" t="s">
        <v>60</v>
      </c>
      <c r="E799" s="8" t="s">
        <v>61</v>
      </c>
      <c r="F799" s="8">
        <v>5</v>
      </c>
      <c r="G799" s="32">
        <v>6</v>
      </c>
    </row>
    <row r="800" spans="1:7" x14ac:dyDescent="0.3">
      <c r="A800" s="3" t="s">
        <v>10</v>
      </c>
      <c r="B800" s="1">
        <v>168</v>
      </c>
      <c r="E800" s="10" t="s">
        <v>11</v>
      </c>
      <c r="F800" s="12">
        <f>SUM(F796:F799)</f>
        <v>168</v>
      </c>
      <c r="G800" s="13">
        <f>($F796*G796+$F797*G797+G798*$F798+G799*$F799)/$F800</f>
        <v>117.61904761904762</v>
      </c>
    </row>
    <row r="801" spans="1:7" x14ac:dyDescent="0.3">
      <c r="A801" s="3" t="s">
        <v>12</v>
      </c>
      <c r="B801" s="1" t="s">
        <v>13</v>
      </c>
      <c r="E801" s="14"/>
      <c r="F801" s="15"/>
      <c r="G801" s="15"/>
    </row>
    <row r="802" spans="1:7" x14ac:dyDescent="0.3">
      <c r="E802" s="17"/>
      <c r="F802" s="1"/>
      <c r="G802" s="18"/>
    </row>
    <row r="803" spans="1:7" x14ac:dyDescent="0.3">
      <c r="E803" s="17"/>
      <c r="F803" s="1"/>
      <c r="G803" s="20"/>
    </row>
    <row r="804" spans="1:7" x14ac:dyDescent="0.3">
      <c r="A804" s="3" t="s">
        <v>390</v>
      </c>
    </row>
    <row r="805" spans="1:7" x14ac:dyDescent="0.3">
      <c r="A805" t="s">
        <v>391</v>
      </c>
      <c r="B805" s="1">
        <v>40</v>
      </c>
      <c r="D805" s="9" t="s">
        <v>392</v>
      </c>
      <c r="E805" s="8" t="s">
        <v>393</v>
      </c>
      <c r="F805" s="8">
        <v>40</v>
      </c>
      <c r="G805" s="32">
        <v>68</v>
      </c>
    </row>
    <row r="806" spans="1:7" x14ac:dyDescent="0.3">
      <c r="A806" t="s">
        <v>387</v>
      </c>
      <c r="B806" s="1">
        <v>20</v>
      </c>
      <c r="D806" s="9" t="s">
        <v>388</v>
      </c>
      <c r="E806" s="8" t="s">
        <v>389</v>
      </c>
      <c r="F806" s="8">
        <v>20</v>
      </c>
      <c r="G806" s="32">
        <v>71</v>
      </c>
    </row>
    <row r="807" spans="1:7" x14ac:dyDescent="0.3">
      <c r="A807" t="s">
        <v>394</v>
      </c>
      <c r="B807" s="1">
        <v>30</v>
      </c>
      <c r="D807" s="9" t="s">
        <v>395</v>
      </c>
      <c r="E807" s="8" t="s">
        <v>396</v>
      </c>
      <c r="F807" s="8">
        <v>30</v>
      </c>
      <c r="G807" s="32">
        <v>57</v>
      </c>
    </row>
    <row r="808" spans="1:7" x14ac:dyDescent="0.3">
      <c r="A808" t="s">
        <v>397</v>
      </c>
      <c r="B808" s="1">
        <v>20</v>
      </c>
      <c r="D808" s="9" t="s">
        <v>398</v>
      </c>
      <c r="E808" s="8" t="s">
        <v>399</v>
      </c>
      <c r="F808" s="8">
        <v>20</v>
      </c>
      <c r="G808" s="32">
        <v>84</v>
      </c>
    </row>
    <row r="809" spans="1:7" x14ac:dyDescent="0.3">
      <c r="A809" t="s">
        <v>400</v>
      </c>
      <c r="B809" s="1">
        <v>20</v>
      </c>
      <c r="D809" s="9" t="s">
        <v>401</v>
      </c>
      <c r="E809" s="8" t="s">
        <v>402</v>
      </c>
      <c r="F809" s="8">
        <v>20</v>
      </c>
      <c r="G809" s="32">
        <v>72</v>
      </c>
    </row>
    <row r="810" spans="1:7" x14ac:dyDescent="0.3">
      <c r="A810" t="s">
        <v>403</v>
      </c>
      <c r="B810" s="1">
        <v>20</v>
      </c>
      <c r="D810" s="9" t="s">
        <v>404</v>
      </c>
      <c r="E810" s="8" t="s">
        <v>405</v>
      </c>
      <c r="F810" s="8">
        <v>20</v>
      </c>
      <c r="G810" s="32">
        <v>72</v>
      </c>
    </row>
    <row r="811" spans="1:7" x14ac:dyDescent="0.3">
      <c r="A811" t="s">
        <v>44</v>
      </c>
      <c r="B811" s="1">
        <v>10</v>
      </c>
      <c r="D811" s="9" t="s">
        <v>45</v>
      </c>
      <c r="E811" s="42" t="s">
        <v>46</v>
      </c>
      <c r="F811" s="9">
        <v>10</v>
      </c>
      <c r="G811" s="32">
        <v>899</v>
      </c>
    </row>
    <row r="812" spans="1:7" x14ac:dyDescent="0.3">
      <c r="A812" t="s">
        <v>105</v>
      </c>
      <c r="B812" s="1">
        <v>2</v>
      </c>
      <c r="D812" s="9" t="s">
        <v>106</v>
      </c>
      <c r="E812" s="42" t="s">
        <v>107</v>
      </c>
      <c r="F812" s="9">
        <v>2</v>
      </c>
      <c r="G812" s="32">
        <v>30</v>
      </c>
    </row>
    <row r="813" spans="1:7" x14ac:dyDescent="0.3">
      <c r="A813" t="s">
        <v>88</v>
      </c>
      <c r="B813" s="1">
        <v>2</v>
      </c>
      <c r="D813" s="9" t="s">
        <v>89</v>
      </c>
      <c r="E813" s="8" t="s">
        <v>90</v>
      </c>
      <c r="F813" s="8">
        <v>2</v>
      </c>
      <c r="G813" s="32">
        <v>45</v>
      </c>
    </row>
    <row r="814" spans="1:7" x14ac:dyDescent="0.3">
      <c r="A814" t="s">
        <v>129</v>
      </c>
      <c r="B814" s="1">
        <v>30</v>
      </c>
      <c r="D814" s="9" t="s">
        <v>130</v>
      </c>
      <c r="E814" s="8" t="s">
        <v>131</v>
      </c>
      <c r="F814" s="8">
        <v>30</v>
      </c>
      <c r="G814" s="32">
        <v>23</v>
      </c>
    </row>
    <row r="815" spans="1:7" x14ac:dyDescent="0.3">
      <c r="A815" s="3" t="s">
        <v>10</v>
      </c>
      <c r="B815" s="1">
        <v>194</v>
      </c>
      <c r="E815" s="10" t="s">
        <v>11</v>
      </c>
      <c r="F815" s="11">
        <f>SUM(F805:F814)</f>
        <v>194</v>
      </c>
      <c r="G815" s="13">
        <f>($F805*G805+G806*$F806+G807*$F807+G808*$F808+G809*$F809+G810*$F810+G811*$F811+G812*$F812+G813*$F813+G814*$F814)/$F815</f>
        <v>104.32989690721649</v>
      </c>
    </row>
    <row r="816" spans="1:7" x14ac:dyDescent="0.3">
      <c r="A816" s="3" t="s">
        <v>12</v>
      </c>
      <c r="B816" s="1" t="s">
        <v>13</v>
      </c>
      <c r="E816" s="14"/>
      <c r="F816" s="15"/>
      <c r="G816" s="16"/>
    </row>
    <row r="817" spans="1:7" x14ac:dyDescent="0.3">
      <c r="E817" s="17"/>
      <c r="F817" s="1"/>
      <c r="G817" s="18"/>
    </row>
    <row r="818" spans="1:7" x14ac:dyDescent="0.3">
      <c r="E818" s="17"/>
      <c r="F818" s="1"/>
      <c r="G818" s="20"/>
    </row>
    <row r="819" spans="1:7" x14ac:dyDescent="0.3">
      <c r="A819" s="3" t="s">
        <v>406</v>
      </c>
    </row>
    <row r="820" spans="1:7" x14ac:dyDescent="0.3">
      <c r="A820" t="s">
        <v>394</v>
      </c>
      <c r="B820" s="1">
        <v>150</v>
      </c>
      <c r="D820" s="9" t="s">
        <v>395</v>
      </c>
      <c r="E820" s="8" t="s">
        <v>396</v>
      </c>
      <c r="F820" s="8">
        <v>150</v>
      </c>
      <c r="G820" s="32">
        <v>57</v>
      </c>
    </row>
    <row r="821" spans="1:7" x14ac:dyDescent="0.3">
      <c r="A821" t="s">
        <v>274</v>
      </c>
      <c r="B821" s="1">
        <v>200</v>
      </c>
      <c r="D821" s="9" t="s">
        <v>275</v>
      </c>
      <c r="E821" s="8" t="s">
        <v>276</v>
      </c>
      <c r="F821" s="8">
        <v>200</v>
      </c>
      <c r="G821" s="32">
        <v>80</v>
      </c>
    </row>
    <row r="822" spans="1:7" x14ac:dyDescent="0.3">
      <c r="A822" t="s">
        <v>44</v>
      </c>
      <c r="B822" s="1">
        <v>10</v>
      </c>
      <c r="D822" s="9" t="s">
        <v>45</v>
      </c>
      <c r="E822" s="42" t="s">
        <v>46</v>
      </c>
      <c r="F822" s="9">
        <v>10</v>
      </c>
      <c r="G822" s="32">
        <v>899</v>
      </c>
    </row>
    <row r="823" spans="1:7" x14ac:dyDescent="0.3">
      <c r="A823" t="s">
        <v>105</v>
      </c>
      <c r="B823" s="1">
        <v>2</v>
      </c>
      <c r="D823" s="9" t="s">
        <v>106</v>
      </c>
      <c r="E823" s="42" t="s">
        <v>107</v>
      </c>
      <c r="F823" s="9">
        <v>2</v>
      </c>
      <c r="G823" s="32">
        <v>30</v>
      </c>
    </row>
    <row r="824" spans="1:7" x14ac:dyDescent="0.3">
      <c r="A824" t="s">
        <v>59</v>
      </c>
      <c r="B824" s="1">
        <v>5</v>
      </c>
      <c r="D824" s="9" t="s">
        <v>60</v>
      </c>
      <c r="E824" s="8" t="s">
        <v>61</v>
      </c>
      <c r="F824" s="8">
        <v>5</v>
      </c>
      <c r="G824" s="32">
        <v>6</v>
      </c>
    </row>
    <row r="825" spans="1:7" x14ac:dyDescent="0.3">
      <c r="A825" t="s">
        <v>71</v>
      </c>
      <c r="B825" s="1">
        <v>0.1</v>
      </c>
      <c r="D825" s="9" t="s">
        <v>72</v>
      </c>
      <c r="E825" s="8" t="s">
        <v>73</v>
      </c>
      <c r="F825" s="8">
        <v>0.1</v>
      </c>
      <c r="G825" s="32">
        <v>270</v>
      </c>
    </row>
    <row r="826" spans="1:7" x14ac:dyDescent="0.3">
      <c r="A826" t="s">
        <v>24</v>
      </c>
      <c r="B826" s="1">
        <v>0.3</v>
      </c>
      <c r="D826" s="9" t="s">
        <v>25</v>
      </c>
      <c r="E826" s="42" t="s">
        <v>26</v>
      </c>
      <c r="F826" s="9">
        <v>0.3</v>
      </c>
      <c r="G826" s="32">
        <v>0</v>
      </c>
    </row>
    <row r="827" spans="1:7" x14ac:dyDescent="0.3">
      <c r="A827" s="3" t="s">
        <v>10</v>
      </c>
      <c r="B827" s="1">
        <v>367.4</v>
      </c>
      <c r="E827" s="10" t="s">
        <v>11</v>
      </c>
      <c r="F827" s="11">
        <f>SUM(F820:F826)</f>
        <v>367.40000000000003</v>
      </c>
      <c r="G827" s="13">
        <f>(G820*$F820+G821*$F821+G822*$F822+G823*$F823+G824*$F824+G825*$F825+G826*$F826)/$F827</f>
        <v>91.608600979858451</v>
      </c>
    </row>
    <row r="828" spans="1:7" x14ac:dyDescent="0.3">
      <c r="A828" s="3" t="s">
        <v>12</v>
      </c>
      <c r="B828" s="1" t="s">
        <v>13</v>
      </c>
      <c r="E828" s="14"/>
      <c r="F828" s="15"/>
      <c r="G828" s="16"/>
    </row>
    <row r="829" spans="1:7" x14ac:dyDescent="0.3">
      <c r="E829" s="17"/>
      <c r="F829" s="1"/>
      <c r="G829" s="18"/>
    </row>
    <row r="830" spans="1:7" x14ac:dyDescent="0.3">
      <c r="E830" s="17"/>
      <c r="F830" s="1"/>
      <c r="G830" s="20"/>
    </row>
    <row r="831" spans="1:7" x14ac:dyDescent="0.3">
      <c r="A831" s="3" t="s">
        <v>407</v>
      </c>
    </row>
    <row r="832" spans="1:7" x14ac:dyDescent="0.3">
      <c r="A832" t="s">
        <v>381</v>
      </c>
      <c r="B832" s="1">
        <v>80</v>
      </c>
      <c r="D832" s="9" t="s">
        <v>382</v>
      </c>
      <c r="E832" s="8" t="s">
        <v>857</v>
      </c>
      <c r="F832" s="8">
        <v>80</v>
      </c>
      <c r="G832" s="32">
        <v>365</v>
      </c>
    </row>
    <row r="833" spans="1:7" x14ac:dyDescent="0.3">
      <c r="A833" t="s">
        <v>270</v>
      </c>
      <c r="B833" s="1">
        <v>20</v>
      </c>
      <c r="D833" s="9" t="s">
        <v>271</v>
      </c>
      <c r="E833" s="8" t="s">
        <v>272</v>
      </c>
      <c r="F833" s="8">
        <v>20</v>
      </c>
      <c r="G833" s="32">
        <v>70</v>
      </c>
    </row>
    <row r="834" spans="1:7" x14ac:dyDescent="0.3">
      <c r="A834" t="s">
        <v>886</v>
      </c>
      <c r="B834" s="1">
        <v>20</v>
      </c>
      <c r="D834" s="9" t="s">
        <v>408</v>
      </c>
      <c r="E834" s="8" t="s">
        <v>886</v>
      </c>
      <c r="F834" s="8">
        <v>20</v>
      </c>
      <c r="G834" s="32">
        <v>17</v>
      </c>
    </row>
    <row r="835" spans="1:7" x14ac:dyDescent="0.3">
      <c r="A835" t="s">
        <v>887</v>
      </c>
      <c r="B835" s="1">
        <v>20</v>
      </c>
      <c r="D835" s="9" t="s">
        <v>409</v>
      </c>
      <c r="E835" s="8" t="s">
        <v>887</v>
      </c>
      <c r="F835" s="8">
        <v>20</v>
      </c>
      <c r="G835" s="32">
        <v>26</v>
      </c>
    </row>
    <row r="836" spans="1:7" x14ac:dyDescent="0.3">
      <c r="A836" t="s">
        <v>258</v>
      </c>
      <c r="B836" s="1">
        <v>20</v>
      </c>
      <c r="D836" s="9" t="s">
        <v>259</v>
      </c>
      <c r="E836" s="8" t="s">
        <v>260</v>
      </c>
      <c r="F836" s="8">
        <v>20</v>
      </c>
      <c r="G836" s="32">
        <v>128</v>
      </c>
    </row>
    <row r="837" spans="1:7" x14ac:dyDescent="0.3">
      <c r="A837" t="s">
        <v>374</v>
      </c>
      <c r="B837" s="1">
        <v>20</v>
      </c>
      <c r="D837" s="9" t="s">
        <v>375</v>
      </c>
      <c r="E837" s="8" t="s">
        <v>376</v>
      </c>
      <c r="F837" s="8">
        <v>20</v>
      </c>
      <c r="G837" s="32">
        <v>14</v>
      </c>
    </row>
    <row r="838" spans="1:7" x14ac:dyDescent="0.3">
      <c r="A838" t="s">
        <v>123</v>
      </c>
      <c r="B838" s="1">
        <v>20</v>
      </c>
      <c r="D838" s="9" t="s">
        <v>124</v>
      </c>
      <c r="E838" s="8" t="s">
        <v>125</v>
      </c>
      <c r="F838" s="8">
        <v>20</v>
      </c>
      <c r="G838" s="32">
        <v>39</v>
      </c>
    </row>
    <row r="839" spans="1:7" x14ac:dyDescent="0.3">
      <c r="A839" t="s">
        <v>839</v>
      </c>
      <c r="B839" s="1">
        <v>20</v>
      </c>
      <c r="D839" s="9" t="s">
        <v>410</v>
      </c>
      <c r="E839" s="8" t="s">
        <v>839</v>
      </c>
      <c r="F839" s="8">
        <v>20</v>
      </c>
      <c r="G839" s="32">
        <v>192</v>
      </c>
    </row>
    <row r="840" spans="1:7" x14ac:dyDescent="0.3">
      <c r="A840" t="s">
        <v>411</v>
      </c>
      <c r="B840" s="1">
        <v>15</v>
      </c>
      <c r="D840" s="9" t="s">
        <v>412</v>
      </c>
      <c r="E840" s="8" t="s">
        <v>413</v>
      </c>
      <c r="F840" s="8">
        <v>15</v>
      </c>
      <c r="G840" s="32">
        <v>215</v>
      </c>
    </row>
    <row r="841" spans="1:7" x14ac:dyDescent="0.3">
      <c r="A841" t="s">
        <v>44</v>
      </c>
      <c r="B841" s="1">
        <v>10</v>
      </c>
      <c r="D841" s="9" t="s">
        <v>45</v>
      </c>
      <c r="E841" s="8" t="s">
        <v>46</v>
      </c>
      <c r="F841" s="8">
        <v>10</v>
      </c>
      <c r="G841" s="32">
        <v>899</v>
      </c>
    </row>
    <row r="842" spans="1:7" x14ac:dyDescent="0.3">
      <c r="A842" t="s">
        <v>24</v>
      </c>
      <c r="B842" s="1">
        <v>0.3</v>
      </c>
      <c r="D842" s="9" t="s">
        <v>25</v>
      </c>
      <c r="E842" s="42" t="s">
        <v>26</v>
      </c>
      <c r="F842" s="9">
        <v>0.3</v>
      </c>
      <c r="G842" s="32">
        <v>0</v>
      </c>
    </row>
    <row r="843" spans="1:7" x14ac:dyDescent="0.3">
      <c r="A843" s="3" t="s">
        <v>10</v>
      </c>
      <c r="B843" s="1">
        <v>245.3</v>
      </c>
      <c r="E843" s="10" t="s">
        <v>11</v>
      </c>
      <c r="F843" s="11">
        <f>SUM(F832:F842)</f>
        <v>245.3</v>
      </c>
      <c r="G843" s="13">
        <f>($F835*G835+$F834*G834+$F833*G833+$F832*G832+G836*$F836+G837*$F837+G838*$F838+G839*$F839+G840*$F840+G841*$F841+G842*$F842)/$F843</f>
        <v>208.45902975947817</v>
      </c>
    </row>
    <row r="844" spans="1:7" x14ac:dyDescent="0.3">
      <c r="A844" s="3" t="s">
        <v>12</v>
      </c>
      <c r="B844" s="1" t="s">
        <v>13</v>
      </c>
      <c r="E844" s="14"/>
      <c r="F844" s="15"/>
      <c r="G844" s="16"/>
    </row>
    <row r="845" spans="1:7" x14ac:dyDescent="0.3">
      <c r="E845" s="17"/>
      <c r="F845" s="1"/>
      <c r="G845" s="18"/>
    </row>
    <row r="846" spans="1:7" x14ac:dyDescent="0.3">
      <c r="E846" s="17"/>
      <c r="F846" s="1"/>
      <c r="G846" s="20"/>
    </row>
    <row r="847" spans="1:7" x14ac:dyDescent="0.3">
      <c r="A847" s="3" t="s">
        <v>414</v>
      </c>
    </row>
    <row r="848" spans="1:7" x14ac:dyDescent="0.3">
      <c r="A848" t="s">
        <v>210</v>
      </c>
      <c r="B848" s="1">
        <v>50</v>
      </c>
      <c r="D848" s="9" t="s">
        <v>211</v>
      </c>
      <c r="E848" s="8" t="s">
        <v>212</v>
      </c>
      <c r="F848" s="8">
        <v>50</v>
      </c>
      <c r="G848" s="32">
        <v>363</v>
      </c>
    </row>
    <row r="849" spans="1:7" x14ac:dyDescent="0.3">
      <c r="A849" t="s">
        <v>44</v>
      </c>
      <c r="B849" s="1">
        <v>10</v>
      </c>
      <c r="D849" s="9" t="s">
        <v>45</v>
      </c>
      <c r="E849" s="8" t="s">
        <v>46</v>
      </c>
      <c r="F849" s="8">
        <v>10</v>
      </c>
      <c r="G849" s="32">
        <v>899</v>
      </c>
    </row>
    <row r="850" spans="1:7" x14ac:dyDescent="0.3">
      <c r="A850" t="s">
        <v>71</v>
      </c>
      <c r="B850" s="1">
        <v>0.1</v>
      </c>
      <c r="D850" s="9" t="s">
        <v>72</v>
      </c>
      <c r="E850" s="8" t="s">
        <v>73</v>
      </c>
      <c r="F850" s="8">
        <v>0.1</v>
      </c>
      <c r="G850" s="32">
        <v>270</v>
      </c>
    </row>
    <row r="851" spans="1:7" x14ac:dyDescent="0.3">
      <c r="A851" t="s">
        <v>105</v>
      </c>
      <c r="B851" s="1">
        <v>4</v>
      </c>
      <c r="D851" s="9" t="s">
        <v>106</v>
      </c>
      <c r="E851" s="42" t="s">
        <v>107</v>
      </c>
      <c r="F851" s="9">
        <v>4</v>
      </c>
      <c r="G851" s="32">
        <v>30</v>
      </c>
    </row>
    <row r="852" spans="1:7" x14ac:dyDescent="0.3">
      <c r="A852" t="s">
        <v>24</v>
      </c>
      <c r="B852" s="1">
        <v>0.3</v>
      </c>
      <c r="D852" s="9" t="s">
        <v>25</v>
      </c>
      <c r="E852" s="42" t="s">
        <v>26</v>
      </c>
      <c r="F852" s="9">
        <v>0.3</v>
      </c>
      <c r="G852" s="32">
        <v>0</v>
      </c>
    </row>
    <row r="853" spans="1:7" x14ac:dyDescent="0.3">
      <c r="A853" s="3" t="s">
        <v>10</v>
      </c>
      <c r="B853" s="1">
        <v>64.400000000000006</v>
      </c>
      <c r="E853" s="10" t="s">
        <v>11</v>
      </c>
      <c r="F853" s="11">
        <f>SUM(F848:F852)</f>
        <v>64.399999999999991</v>
      </c>
      <c r="G853" s="13">
        <f>(G848*$F848+G849*$F849+G850*$F850+G851*$F851+G852*$F852)/$F853</f>
        <v>423.71118012422363</v>
      </c>
    </row>
    <row r="854" spans="1:7" x14ac:dyDescent="0.3">
      <c r="A854" s="3" t="s">
        <v>12</v>
      </c>
      <c r="B854" s="1" t="s">
        <v>13</v>
      </c>
      <c r="E854" s="14"/>
      <c r="F854" s="15"/>
      <c r="G854" s="16"/>
    </row>
    <row r="855" spans="1:7" x14ac:dyDescent="0.3">
      <c r="E855" s="17"/>
      <c r="F855" s="1"/>
      <c r="G855" s="18"/>
    </row>
    <row r="856" spans="1:7" x14ac:dyDescent="0.3">
      <c r="E856" s="17"/>
      <c r="F856" s="1"/>
      <c r="G856" s="20"/>
    </row>
    <row r="857" spans="1:7" x14ac:dyDescent="0.3">
      <c r="A857" s="3" t="s">
        <v>415</v>
      </c>
    </row>
    <row r="858" spans="1:7" x14ac:dyDescent="0.3">
      <c r="A858" t="s">
        <v>210</v>
      </c>
      <c r="B858" s="1">
        <v>50</v>
      </c>
      <c r="D858" s="9" t="s">
        <v>211</v>
      </c>
      <c r="E858" s="8" t="s">
        <v>212</v>
      </c>
      <c r="F858" s="8">
        <v>50</v>
      </c>
      <c r="G858" s="32">
        <v>363</v>
      </c>
    </row>
    <row r="859" spans="1:7" x14ac:dyDescent="0.3">
      <c r="A859" t="s">
        <v>416</v>
      </c>
      <c r="B859" s="1">
        <v>100</v>
      </c>
      <c r="D859" s="65" t="s">
        <v>377</v>
      </c>
      <c r="E859" s="8" t="s">
        <v>888</v>
      </c>
      <c r="F859" s="8">
        <v>100</v>
      </c>
      <c r="G859" s="18">
        <v>26</v>
      </c>
    </row>
    <row r="860" spans="1:7" x14ac:dyDescent="0.3">
      <c r="A860" t="s">
        <v>44</v>
      </c>
      <c r="B860" s="1">
        <v>10</v>
      </c>
      <c r="D860" s="9" t="s">
        <v>45</v>
      </c>
      <c r="E860" s="8" t="s">
        <v>46</v>
      </c>
      <c r="F860" s="8">
        <v>10</v>
      </c>
      <c r="G860" s="32">
        <v>899</v>
      </c>
    </row>
    <row r="861" spans="1:7" x14ac:dyDescent="0.3">
      <c r="A861" t="s">
        <v>71</v>
      </c>
      <c r="B861" s="1">
        <v>0.1</v>
      </c>
      <c r="D861" s="9" t="s">
        <v>72</v>
      </c>
      <c r="E861" s="8" t="s">
        <v>73</v>
      </c>
      <c r="F861" s="8">
        <v>0.1</v>
      </c>
      <c r="G861" s="32">
        <v>270</v>
      </c>
    </row>
    <row r="862" spans="1:7" x14ac:dyDescent="0.3">
      <c r="A862" t="s">
        <v>24</v>
      </c>
      <c r="B862" s="1">
        <v>0.3</v>
      </c>
      <c r="D862" s="9" t="s">
        <v>25</v>
      </c>
      <c r="E862" s="42" t="s">
        <v>26</v>
      </c>
      <c r="F862" s="9">
        <v>0.3</v>
      </c>
      <c r="G862" s="32">
        <v>0</v>
      </c>
    </row>
    <row r="863" spans="1:7" x14ac:dyDescent="0.3">
      <c r="A863" s="3" t="s">
        <v>10</v>
      </c>
      <c r="B863" s="1">
        <v>160.4</v>
      </c>
      <c r="E863" s="10" t="s">
        <v>11</v>
      </c>
      <c r="F863" s="11">
        <f>SUM(F858:F862)</f>
        <v>160.4</v>
      </c>
      <c r="G863" s="13">
        <f>(G858*$F858+G859*$F859+G860*$F860+G861*$F861+G862*$F862)/$F863</f>
        <v>185.57980049875312</v>
      </c>
    </row>
    <row r="864" spans="1:7" x14ac:dyDescent="0.3">
      <c r="A864" s="3" t="s">
        <v>12</v>
      </c>
      <c r="B864" s="1" t="s">
        <v>13</v>
      </c>
      <c r="E864" s="14"/>
      <c r="F864" s="15"/>
      <c r="G864" s="16"/>
    </row>
    <row r="865" spans="1:7" x14ac:dyDescent="0.3">
      <c r="E865" s="17"/>
      <c r="F865" s="1"/>
      <c r="G865" s="18"/>
    </row>
    <row r="866" spans="1:7" x14ac:dyDescent="0.3">
      <c r="E866" s="17"/>
      <c r="F866" s="1"/>
      <c r="G866" s="20"/>
    </row>
    <row r="867" spans="1:7" x14ac:dyDescent="0.3">
      <c r="A867" s="3" t="s">
        <v>417</v>
      </c>
    </row>
    <row r="868" spans="1:7" x14ac:dyDescent="0.3">
      <c r="A868" t="s">
        <v>418</v>
      </c>
      <c r="B868" s="1">
        <v>40</v>
      </c>
      <c r="D868" s="9" t="s">
        <v>419</v>
      </c>
      <c r="E868" s="8" t="s">
        <v>420</v>
      </c>
      <c r="F868" s="8">
        <v>40</v>
      </c>
      <c r="G868" s="32">
        <v>18</v>
      </c>
    </row>
    <row r="869" spans="1:7" x14ac:dyDescent="0.3">
      <c r="A869" t="s">
        <v>421</v>
      </c>
      <c r="B869" s="1">
        <v>40</v>
      </c>
      <c r="D869" s="9" t="s">
        <v>422</v>
      </c>
      <c r="E869" s="8" t="s">
        <v>423</v>
      </c>
      <c r="F869" s="8">
        <v>40</v>
      </c>
      <c r="G869" s="32">
        <v>22</v>
      </c>
    </row>
    <row r="870" spans="1:7" x14ac:dyDescent="0.3">
      <c r="A870" t="s">
        <v>123</v>
      </c>
      <c r="B870" s="1">
        <v>40</v>
      </c>
      <c r="D870" s="9" t="s">
        <v>124</v>
      </c>
      <c r="E870" s="8" t="s">
        <v>125</v>
      </c>
      <c r="F870" s="8">
        <v>40</v>
      </c>
      <c r="G870" s="32">
        <v>39</v>
      </c>
    </row>
    <row r="871" spans="1:7" x14ac:dyDescent="0.3">
      <c r="A871" t="s">
        <v>840</v>
      </c>
      <c r="B871" s="1">
        <v>60</v>
      </c>
      <c r="D871" s="9" t="s">
        <v>308</v>
      </c>
      <c r="E871" s="8" t="s">
        <v>840</v>
      </c>
      <c r="F871" s="8">
        <v>60</v>
      </c>
      <c r="G871" s="32">
        <v>21</v>
      </c>
    </row>
    <row r="872" spans="1:7" x14ac:dyDescent="0.3">
      <c r="A872" t="s">
        <v>21</v>
      </c>
      <c r="B872" s="1">
        <v>5</v>
      </c>
      <c r="D872" s="9" t="s">
        <v>22</v>
      </c>
      <c r="E872" s="8" t="s">
        <v>23</v>
      </c>
      <c r="F872" s="8">
        <v>5</v>
      </c>
      <c r="G872" s="32">
        <v>4</v>
      </c>
    </row>
    <row r="873" spans="1:7" x14ac:dyDescent="0.3">
      <c r="A873" t="s">
        <v>44</v>
      </c>
      <c r="B873" s="1">
        <v>10</v>
      </c>
      <c r="D873" s="9" t="s">
        <v>45</v>
      </c>
      <c r="E873" s="8" t="s">
        <v>46</v>
      </c>
      <c r="F873" s="8">
        <v>10</v>
      </c>
      <c r="G873" s="32">
        <v>899</v>
      </c>
    </row>
    <row r="874" spans="1:7" x14ac:dyDescent="0.3">
      <c r="A874" t="s">
        <v>24</v>
      </c>
      <c r="B874" s="1">
        <v>0.3</v>
      </c>
      <c r="D874" s="9" t="s">
        <v>25</v>
      </c>
      <c r="E874" s="42" t="s">
        <v>26</v>
      </c>
      <c r="F874" s="9">
        <v>0.3</v>
      </c>
      <c r="G874" s="32">
        <v>0</v>
      </c>
    </row>
    <row r="875" spans="1:7" x14ac:dyDescent="0.3">
      <c r="A875" s="3" t="s">
        <v>10</v>
      </c>
      <c r="B875" s="1">
        <v>195.3</v>
      </c>
      <c r="E875" s="10" t="s">
        <v>11</v>
      </c>
      <c r="F875" s="11">
        <f>SUM(F868:F874)</f>
        <v>195.3</v>
      </c>
      <c r="G875" s="13">
        <f>(G868*$F868+G869*$F869+G870*$F870+G871*$F871+G872*$F872+G873*$F873+G874*$F874)/$F875</f>
        <v>68.766001024065531</v>
      </c>
    </row>
    <row r="876" spans="1:7" x14ac:dyDescent="0.3">
      <c r="A876" s="3" t="s">
        <v>12</v>
      </c>
      <c r="B876" s="1" t="s">
        <v>13</v>
      </c>
      <c r="E876" s="14"/>
      <c r="F876" s="15"/>
      <c r="G876" s="16"/>
    </row>
    <row r="877" spans="1:7" x14ac:dyDescent="0.3">
      <c r="E877" s="17"/>
      <c r="F877" s="1"/>
      <c r="G877" s="18"/>
    </row>
    <row r="878" spans="1:7" x14ac:dyDescent="0.3">
      <c r="E878" s="17"/>
      <c r="F878" s="1"/>
      <c r="G878" s="20"/>
    </row>
    <row r="879" spans="1:7" x14ac:dyDescent="0.3">
      <c r="A879" s="3" t="s">
        <v>424</v>
      </c>
    </row>
    <row r="880" spans="1:7" x14ac:dyDescent="0.3">
      <c r="A880" t="s">
        <v>425</v>
      </c>
      <c r="B880" s="1">
        <v>80</v>
      </c>
      <c r="D880" s="9" t="s">
        <v>426</v>
      </c>
      <c r="E880" s="8" t="s">
        <v>867</v>
      </c>
      <c r="F880" s="8">
        <v>80</v>
      </c>
      <c r="G880" s="32">
        <v>19</v>
      </c>
    </row>
    <row r="881" spans="1:7" x14ac:dyDescent="0.3">
      <c r="A881" t="s">
        <v>44</v>
      </c>
      <c r="B881" s="1">
        <v>10</v>
      </c>
      <c r="D881" s="9" t="s">
        <v>45</v>
      </c>
      <c r="E881" s="8" t="s">
        <v>46</v>
      </c>
      <c r="F881" s="8">
        <v>10</v>
      </c>
      <c r="G881" s="32">
        <v>899</v>
      </c>
    </row>
    <row r="882" spans="1:7" x14ac:dyDescent="0.3">
      <c r="A882" t="s">
        <v>21</v>
      </c>
      <c r="B882" s="1">
        <v>5</v>
      </c>
      <c r="D882" s="9" t="s">
        <v>22</v>
      </c>
      <c r="E882" s="8" t="s">
        <v>23</v>
      </c>
      <c r="F882" s="8">
        <v>5</v>
      </c>
      <c r="G882" s="32">
        <v>4</v>
      </c>
    </row>
    <row r="883" spans="1:7" x14ac:dyDescent="0.3">
      <c r="A883" t="s">
        <v>24</v>
      </c>
      <c r="B883" s="1">
        <v>0.3</v>
      </c>
      <c r="D883" s="9" t="s">
        <v>25</v>
      </c>
      <c r="E883" s="42" t="s">
        <v>26</v>
      </c>
      <c r="F883" s="9">
        <v>0.3</v>
      </c>
      <c r="G883" s="32">
        <v>0</v>
      </c>
    </row>
    <row r="884" spans="1:7" x14ac:dyDescent="0.3">
      <c r="A884" s="3" t="s">
        <v>10</v>
      </c>
      <c r="B884" s="1">
        <v>95.3</v>
      </c>
      <c r="E884" s="10" t="s">
        <v>11</v>
      </c>
      <c r="F884" s="11">
        <f>SUM(F880:F883)</f>
        <v>95.3</v>
      </c>
      <c r="G884" s="13">
        <f>(G880*$F880+G881*$F881+G882*$F882+G883*$F883)/$F884</f>
        <v>110.49317943336831</v>
      </c>
    </row>
    <row r="885" spans="1:7" x14ac:dyDescent="0.3">
      <c r="A885" s="3" t="s">
        <v>12</v>
      </c>
      <c r="B885" s="1" t="s">
        <v>13</v>
      </c>
      <c r="E885" s="14"/>
      <c r="F885" s="15"/>
      <c r="G885" s="16"/>
    </row>
    <row r="886" spans="1:7" x14ac:dyDescent="0.3">
      <c r="E886" s="17"/>
      <c r="F886" s="1"/>
      <c r="G886" s="18"/>
    </row>
    <row r="887" spans="1:7" x14ac:dyDescent="0.3">
      <c r="E887" s="17"/>
      <c r="F887" s="1"/>
      <c r="G887" s="20"/>
    </row>
    <row r="888" spans="1:7" x14ac:dyDescent="0.3">
      <c r="A888" s="3" t="s">
        <v>428</v>
      </c>
    </row>
    <row r="889" spans="1:7" x14ac:dyDescent="0.3">
      <c r="A889" t="s">
        <v>82</v>
      </c>
      <c r="B889" s="1">
        <v>100</v>
      </c>
      <c r="D889" s="9" t="s">
        <v>83</v>
      </c>
      <c r="E889" s="8" t="s">
        <v>84</v>
      </c>
      <c r="F889" s="8">
        <v>100</v>
      </c>
      <c r="G889" s="32">
        <v>108</v>
      </c>
    </row>
    <row r="890" spans="1:7" x14ac:dyDescent="0.3">
      <c r="A890" t="s">
        <v>429</v>
      </c>
      <c r="B890" s="1">
        <v>20</v>
      </c>
      <c r="D890" s="9" t="s">
        <v>430</v>
      </c>
      <c r="E890" s="8" t="s">
        <v>431</v>
      </c>
      <c r="F890" s="8">
        <v>20</v>
      </c>
      <c r="G890" s="32">
        <v>343</v>
      </c>
    </row>
    <row r="891" spans="1:7" x14ac:dyDescent="0.3">
      <c r="A891" t="s">
        <v>432</v>
      </c>
      <c r="B891" s="1">
        <v>70</v>
      </c>
      <c r="D891" s="9" t="s">
        <v>433</v>
      </c>
      <c r="E891" s="8" t="s">
        <v>434</v>
      </c>
      <c r="F891" s="8">
        <v>70</v>
      </c>
      <c r="G891" s="32">
        <v>35</v>
      </c>
    </row>
    <row r="892" spans="1:7" x14ac:dyDescent="0.3">
      <c r="A892" t="s">
        <v>825</v>
      </c>
      <c r="B892" s="1">
        <v>25</v>
      </c>
      <c r="D892" s="65" t="s">
        <v>213</v>
      </c>
      <c r="E892" s="8" t="s">
        <v>825</v>
      </c>
      <c r="F892" s="9">
        <v>25</v>
      </c>
      <c r="G892" s="37">
        <v>36</v>
      </c>
    </row>
    <row r="893" spans="1:7" x14ac:dyDescent="0.3">
      <c r="A893" t="s">
        <v>44</v>
      </c>
      <c r="B893" s="1">
        <v>10</v>
      </c>
      <c r="D893" s="9" t="s">
        <v>45</v>
      </c>
      <c r="E893" s="8" t="s">
        <v>46</v>
      </c>
      <c r="F893" s="8">
        <v>10</v>
      </c>
      <c r="G893" s="32">
        <v>899</v>
      </c>
    </row>
    <row r="894" spans="1:7" x14ac:dyDescent="0.3">
      <c r="A894" t="s">
        <v>24</v>
      </c>
      <c r="B894" s="1">
        <v>0.3</v>
      </c>
      <c r="D894" s="9" t="s">
        <v>25</v>
      </c>
      <c r="E894" s="42" t="s">
        <v>26</v>
      </c>
      <c r="F894" s="9">
        <v>0.3</v>
      </c>
      <c r="G894" s="32">
        <v>0</v>
      </c>
    </row>
    <row r="895" spans="1:7" x14ac:dyDescent="0.3">
      <c r="A895" t="s">
        <v>71</v>
      </c>
      <c r="B895" s="1">
        <v>0.1</v>
      </c>
      <c r="D895" s="9" t="s">
        <v>72</v>
      </c>
      <c r="E895" s="8" t="s">
        <v>73</v>
      </c>
      <c r="F895" s="8">
        <v>0.1</v>
      </c>
      <c r="G895" s="32">
        <v>270</v>
      </c>
    </row>
    <row r="896" spans="1:7" x14ac:dyDescent="0.3">
      <c r="A896" s="3" t="s">
        <v>10</v>
      </c>
      <c r="B896" s="1">
        <v>225.4</v>
      </c>
      <c r="E896" s="10" t="s">
        <v>11</v>
      </c>
      <c r="F896" s="11">
        <f>SUM(F889:F895)</f>
        <v>225.4</v>
      </c>
      <c r="G896" s="13">
        <f>(G889*$F889+G890*$F890+G891*$F891+G892*$F892+G893*$F893+G894*$F894+G895*$F895)/$F896</f>
        <v>133.21650399290149</v>
      </c>
    </row>
    <row r="897" spans="1:13" x14ac:dyDescent="0.3">
      <c r="A897" s="3" t="s">
        <v>12</v>
      </c>
      <c r="B897" s="1" t="s">
        <v>13</v>
      </c>
      <c r="E897" s="14"/>
      <c r="F897" s="15"/>
      <c r="G897" s="16"/>
    </row>
    <row r="898" spans="1:13" x14ac:dyDescent="0.3">
      <c r="E898" s="17"/>
      <c r="F898" s="1"/>
      <c r="G898" s="18"/>
    </row>
    <row r="899" spans="1:13" x14ac:dyDescent="0.3">
      <c r="E899" s="17"/>
      <c r="F899" s="1"/>
      <c r="G899" s="20"/>
    </row>
    <row r="900" spans="1:13" x14ac:dyDescent="0.3">
      <c r="A900" s="3" t="s">
        <v>435</v>
      </c>
    </row>
    <row r="901" spans="1:13" x14ac:dyDescent="0.3">
      <c r="A901" t="s">
        <v>436</v>
      </c>
      <c r="B901" s="1">
        <v>100</v>
      </c>
      <c r="D901" s="9" t="s">
        <v>437</v>
      </c>
      <c r="E901" s="8" t="s">
        <v>438</v>
      </c>
      <c r="F901" s="8">
        <v>100</v>
      </c>
      <c r="G901" s="32">
        <v>100</v>
      </c>
    </row>
    <row r="902" spans="1:13" x14ac:dyDescent="0.3">
      <c r="A902" t="s">
        <v>411</v>
      </c>
      <c r="B902" s="1">
        <v>20</v>
      </c>
      <c r="D902" s="9" t="s">
        <v>412</v>
      </c>
      <c r="E902" s="8" t="s">
        <v>413</v>
      </c>
      <c r="F902" s="8">
        <v>20</v>
      </c>
      <c r="G902" s="32">
        <v>215</v>
      </c>
    </row>
    <row r="903" spans="1:13" x14ac:dyDescent="0.3">
      <c r="A903" t="s">
        <v>429</v>
      </c>
      <c r="B903" s="1">
        <v>20</v>
      </c>
      <c r="D903" s="9" t="s">
        <v>430</v>
      </c>
      <c r="E903" s="8" t="s">
        <v>431</v>
      </c>
      <c r="F903" s="8">
        <v>20</v>
      </c>
      <c r="G903" s="32">
        <v>343</v>
      </c>
    </row>
    <row r="904" spans="1:13" x14ac:dyDescent="0.3">
      <c r="A904" t="s">
        <v>44</v>
      </c>
      <c r="B904" s="1">
        <v>10</v>
      </c>
      <c r="D904" s="9" t="s">
        <v>45</v>
      </c>
      <c r="E904" s="8" t="s">
        <v>46</v>
      </c>
      <c r="F904" s="8">
        <v>10</v>
      </c>
      <c r="G904" s="32">
        <v>899</v>
      </c>
    </row>
    <row r="905" spans="1:13" x14ac:dyDescent="0.3">
      <c r="A905" t="s">
        <v>24</v>
      </c>
      <c r="B905" s="1">
        <v>0.3</v>
      </c>
      <c r="D905" s="9" t="s">
        <v>25</v>
      </c>
      <c r="E905" s="42" t="s">
        <v>26</v>
      </c>
      <c r="F905" s="9">
        <v>0.3</v>
      </c>
      <c r="G905" s="32">
        <v>0</v>
      </c>
    </row>
    <row r="906" spans="1:13" x14ac:dyDescent="0.3">
      <c r="A906" t="s">
        <v>71</v>
      </c>
      <c r="B906" s="1">
        <v>0.1</v>
      </c>
      <c r="D906" s="9" t="s">
        <v>72</v>
      </c>
      <c r="E906" s="8" t="s">
        <v>73</v>
      </c>
      <c r="F906" s="8">
        <v>0.1</v>
      </c>
      <c r="G906" s="32">
        <v>270</v>
      </c>
    </row>
    <row r="907" spans="1:13" x14ac:dyDescent="0.3">
      <c r="A907" s="3" t="s">
        <v>10</v>
      </c>
      <c r="B907" s="1">
        <v>150.4</v>
      </c>
      <c r="E907" s="10" t="s">
        <v>11</v>
      </c>
      <c r="F907" s="11">
        <f>SUM(F901:F906)</f>
        <v>150.4</v>
      </c>
      <c r="G907" s="13">
        <f>(G901*$F901+G902*$F902+G903*$F903+G904*$F904+G905*$F905+G906*$F906)/$F907</f>
        <v>200.64494680851064</v>
      </c>
    </row>
    <row r="908" spans="1:13" x14ac:dyDescent="0.3">
      <c r="A908" s="3" t="s">
        <v>12</v>
      </c>
      <c r="B908" s="1" t="s">
        <v>13</v>
      </c>
      <c r="E908" s="14"/>
      <c r="F908" s="15"/>
      <c r="G908" s="16"/>
      <c r="I908" s="65"/>
      <c r="J908" s="65"/>
      <c r="K908" s="65"/>
      <c r="L908" s="74"/>
      <c r="M908" s="70"/>
    </row>
    <row r="909" spans="1:13" x14ac:dyDescent="0.3">
      <c r="E909" s="17"/>
      <c r="F909" s="1"/>
      <c r="G909" s="18"/>
      <c r="I909" s="65"/>
      <c r="J909" s="65"/>
      <c r="K909" s="65"/>
      <c r="L909" s="74"/>
      <c r="M909" s="70"/>
    </row>
    <row r="910" spans="1:13" x14ac:dyDescent="0.3">
      <c r="E910" s="17"/>
      <c r="F910" s="1"/>
      <c r="G910" s="20"/>
      <c r="I910" s="65"/>
      <c r="J910" s="65"/>
      <c r="K910" s="65"/>
      <c r="L910" s="74"/>
      <c r="M910" s="70"/>
    </row>
    <row r="911" spans="1:13" x14ac:dyDescent="0.3">
      <c r="A911" s="3" t="s">
        <v>439</v>
      </c>
      <c r="I911" s="65"/>
      <c r="J911" s="65"/>
      <c r="K911" s="65"/>
      <c r="L911" s="74"/>
      <c r="M911" s="70"/>
    </row>
    <row r="912" spans="1:13" x14ac:dyDescent="0.3">
      <c r="A912" t="s">
        <v>440</v>
      </c>
      <c r="B912" s="1">
        <v>30</v>
      </c>
      <c r="D912" s="9" t="s">
        <v>441</v>
      </c>
      <c r="E912" s="8" t="s">
        <v>442</v>
      </c>
      <c r="F912" s="63">
        <v>30</v>
      </c>
      <c r="G912" s="32">
        <v>346</v>
      </c>
      <c r="I912" s="65"/>
      <c r="J912" s="65"/>
      <c r="K912" s="65"/>
      <c r="L912" s="74"/>
      <c r="M912" s="70"/>
    </row>
    <row r="913" spans="1:12" x14ac:dyDescent="0.3">
      <c r="A913" t="s">
        <v>443</v>
      </c>
      <c r="B913" s="1">
        <v>40</v>
      </c>
      <c r="D913" s="9" t="s">
        <v>444</v>
      </c>
      <c r="E913" s="8" t="s">
        <v>445</v>
      </c>
      <c r="F913" s="63">
        <v>40</v>
      </c>
      <c r="G913" s="32">
        <v>119</v>
      </c>
      <c r="I913" s="65"/>
      <c r="L913" s="69"/>
    </row>
    <row r="914" spans="1:12" x14ac:dyDescent="0.3">
      <c r="A914" s="67" t="s">
        <v>62</v>
      </c>
      <c r="B914" s="1">
        <v>67.934782608695656</v>
      </c>
      <c r="D914" s="65" t="s">
        <v>159</v>
      </c>
      <c r="E914" s="65" t="s">
        <v>317</v>
      </c>
      <c r="F914" s="75">
        <v>67.934782608695656</v>
      </c>
      <c r="G914" s="72">
        <v>46</v>
      </c>
      <c r="I914" s="65"/>
    </row>
    <row r="915" spans="1:12" x14ac:dyDescent="0.3">
      <c r="A915" s="67" t="s">
        <v>62</v>
      </c>
      <c r="B915" s="1">
        <v>4.0760869565217392</v>
      </c>
      <c r="D915" s="65" t="s">
        <v>64</v>
      </c>
      <c r="E915" s="65" t="s">
        <v>65</v>
      </c>
      <c r="F915" s="75">
        <v>4.0760869565217392</v>
      </c>
      <c r="G915" s="72">
        <v>758</v>
      </c>
      <c r="I915" s="65"/>
    </row>
    <row r="916" spans="1:12" x14ac:dyDescent="0.3">
      <c r="A916" s="67" t="s">
        <v>62</v>
      </c>
      <c r="B916" s="1">
        <v>1.9021739130434783</v>
      </c>
      <c r="D916" s="65" t="s">
        <v>318</v>
      </c>
      <c r="E916" s="65" t="s">
        <v>319</v>
      </c>
      <c r="F916" s="75">
        <v>1.9021739130434783</v>
      </c>
      <c r="G916" s="72">
        <v>321</v>
      </c>
      <c r="I916" s="65"/>
    </row>
    <row r="917" spans="1:12" x14ac:dyDescent="0.3">
      <c r="A917" s="67" t="s">
        <v>62</v>
      </c>
      <c r="B917" s="1">
        <v>0.95108695652173914</v>
      </c>
      <c r="D917" s="65" t="s">
        <v>25</v>
      </c>
      <c r="E917" s="65" t="s">
        <v>26</v>
      </c>
      <c r="F917" s="75">
        <v>0.95108695652173914</v>
      </c>
      <c r="G917" s="72">
        <v>0</v>
      </c>
      <c r="I917" s="65"/>
    </row>
    <row r="918" spans="1:12" x14ac:dyDescent="0.3">
      <c r="A918" s="67" t="s">
        <v>62</v>
      </c>
      <c r="B918" s="1">
        <v>0.1358695652173913</v>
      </c>
      <c r="D918" s="65" t="s">
        <v>75</v>
      </c>
      <c r="E918" s="65" t="s">
        <v>76</v>
      </c>
      <c r="F918" s="75">
        <v>0.1358695652173913</v>
      </c>
      <c r="G918" s="72">
        <v>442</v>
      </c>
      <c r="I918" s="65"/>
    </row>
    <row r="919" spans="1:12" x14ac:dyDescent="0.3">
      <c r="A919" t="s">
        <v>446</v>
      </c>
      <c r="B919" s="1">
        <v>10</v>
      </c>
      <c r="D919" s="9" t="s">
        <v>447</v>
      </c>
      <c r="E919" s="8" t="s">
        <v>448</v>
      </c>
      <c r="F919" s="63">
        <v>10</v>
      </c>
      <c r="G919" s="32">
        <v>146</v>
      </c>
      <c r="I919" s="65"/>
    </row>
    <row r="920" spans="1:12" x14ac:dyDescent="0.3">
      <c r="A920" t="s">
        <v>126</v>
      </c>
      <c r="B920" s="1">
        <v>19</v>
      </c>
      <c r="D920" s="9" t="s">
        <v>127</v>
      </c>
      <c r="E920" s="8" t="s">
        <v>128</v>
      </c>
      <c r="F920" s="63">
        <v>19</v>
      </c>
      <c r="G920" s="32">
        <v>28</v>
      </c>
      <c r="I920" s="65"/>
    </row>
    <row r="921" spans="1:12" x14ac:dyDescent="0.3">
      <c r="A921" t="s">
        <v>123</v>
      </c>
      <c r="B921" s="1">
        <v>10</v>
      </c>
      <c r="D921" s="9" t="s">
        <v>124</v>
      </c>
      <c r="E921" s="8" t="s">
        <v>125</v>
      </c>
      <c r="F921" s="63">
        <v>10</v>
      </c>
      <c r="G921" s="32">
        <v>39</v>
      </c>
      <c r="I921" s="65"/>
    </row>
    <row r="922" spans="1:12" x14ac:dyDescent="0.3">
      <c r="A922" t="s">
        <v>129</v>
      </c>
      <c r="B922" s="1">
        <v>8</v>
      </c>
      <c r="D922" s="9" t="s">
        <v>130</v>
      </c>
      <c r="E922" s="8" t="s">
        <v>131</v>
      </c>
      <c r="F922" s="63">
        <v>8</v>
      </c>
      <c r="G922" s="32">
        <v>23</v>
      </c>
      <c r="I922" s="65"/>
    </row>
    <row r="923" spans="1:12" x14ac:dyDescent="0.3">
      <c r="A923" t="s">
        <v>825</v>
      </c>
      <c r="B923" s="1">
        <v>40</v>
      </c>
      <c r="D923" s="65" t="s">
        <v>213</v>
      </c>
      <c r="E923" s="8" t="s">
        <v>825</v>
      </c>
      <c r="F923" s="63">
        <v>40</v>
      </c>
      <c r="G923" s="37">
        <v>36</v>
      </c>
      <c r="I923" s="65"/>
    </row>
    <row r="924" spans="1:12" x14ac:dyDescent="0.3">
      <c r="A924" t="s">
        <v>44</v>
      </c>
      <c r="B924" s="1">
        <v>5</v>
      </c>
      <c r="D924" s="9" t="s">
        <v>45</v>
      </c>
      <c r="E924" s="8" t="s">
        <v>46</v>
      </c>
      <c r="F924" s="63">
        <v>5</v>
      </c>
      <c r="G924" s="32">
        <v>899</v>
      </c>
      <c r="I924" s="65"/>
    </row>
    <row r="925" spans="1:12" x14ac:dyDescent="0.3">
      <c r="A925" t="s">
        <v>449</v>
      </c>
      <c r="B925" s="1">
        <v>10</v>
      </c>
      <c r="D925" s="9" t="s">
        <v>140</v>
      </c>
      <c r="E925" s="8" t="s">
        <v>141</v>
      </c>
      <c r="F925" s="63">
        <v>10</v>
      </c>
      <c r="G925" s="32">
        <v>387</v>
      </c>
      <c r="I925" s="65"/>
    </row>
    <row r="926" spans="1:12" x14ac:dyDescent="0.3">
      <c r="A926" t="s">
        <v>63</v>
      </c>
      <c r="B926" s="1">
        <v>2.6</v>
      </c>
      <c r="D926" s="9" t="s">
        <v>64</v>
      </c>
      <c r="E926" s="8" t="s">
        <v>65</v>
      </c>
      <c r="F926" s="63">
        <v>2.6</v>
      </c>
      <c r="G926" s="32">
        <v>758</v>
      </c>
      <c r="I926" s="65"/>
    </row>
    <row r="927" spans="1:12" x14ac:dyDescent="0.3">
      <c r="A927" t="s">
        <v>24</v>
      </c>
      <c r="B927" s="1">
        <v>0.3</v>
      </c>
      <c r="D927" s="9" t="s">
        <v>25</v>
      </c>
      <c r="E927" s="42" t="s">
        <v>26</v>
      </c>
      <c r="F927" s="63">
        <v>0.3</v>
      </c>
      <c r="G927" s="32">
        <v>0</v>
      </c>
      <c r="I927" s="65"/>
    </row>
    <row r="928" spans="1:12" x14ac:dyDescent="0.3">
      <c r="A928" t="s">
        <v>71</v>
      </c>
      <c r="B928" s="1">
        <v>0.1</v>
      </c>
      <c r="D928" s="9" t="s">
        <v>72</v>
      </c>
      <c r="E928" s="8" t="s">
        <v>73</v>
      </c>
      <c r="F928" s="63">
        <v>0.1</v>
      </c>
      <c r="G928" s="32">
        <v>270</v>
      </c>
      <c r="I928" s="65"/>
    </row>
    <row r="929" spans="1:9" x14ac:dyDescent="0.3">
      <c r="A929" s="3" t="s">
        <v>10</v>
      </c>
      <c r="B929" s="1">
        <v>250</v>
      </c>
      <c r="E929" s="10" t="s">
        <v>11</v>
      </c>
      <c r="F929" s="11">
        <f>SUM(F912:F928)</f>
        <v>250.00000000000003</v>
      </c>
      <c r="G929" s="13">
        <f>($F912*G912+$F913*G913+$F921*G921+$F920*G920+$F919*G919+F914*G914+F915*G915+F916*G916+F917*G917+F918*G918+G922*$F922+G923*$F923+G924*$F924+G925*$F925+G926*$F926+G927*$F927+G928*$F928)/$F929</f>
        <v>145.5765043478261</v>
      </c>
      <c r="I929" s="76"/>
    </row>
    <row r="930" spans="1:9" x14ac:dyDescent="0.3">
      <c r="A930" s="3" t="s">
        <v>12</v>
      </c>
      <c r="B930" s="1" t="s">
        <v>13</v>
      </c>
      <c r="E930" s="14"/>
      <c r="F930" s="15"/>
      <c r="G930" s="16"/>
    </row>
    <row r="931" spans="1:9" x14ac:dyDescent="0.3">
      <c r="E931" s="17"/>
      <c r="F931" s="1"/>
      <c r="G931" s="18"/>
    </row>
    <row r="932" spans="1:9" x14ac:dyDescent="0.3">
      <c r="E932" s="17"/>
      <c r="F932" s="1"/>
      <c r="G932" s="20"/>
    </row>
    <row r="933" spans="1:9" x14ac:dyDescent="0.3">
      <c r="A933" s="3" t="s">
        <v>450</v>
      </c>
    </row>
    <row r="934" spans="1:9" x14ac:dyDescent="0.3">
      <c r="A934" t="s">
        <v>69</v>
      </c>
      <c r="B934" s="1">
        <v>125</v>
      </c>
      <c r="D934" s="9" t="s">
        <v>70</v>
      </c>
      <c r="E934" s="8" t="s">
        <v>850</v>
      </c>
      <c r="F934" s="8">
        <v>125</v>
      </c>
      <c r="G934" s="32">
        <v>64</v>
      </c>
    </row>
    <row r="935" spans="1:9" x14ac:dyDescent="0.3">
      <c r="A935" t="s">
        <v>161</v>
      </c>
      <c r="B935" s="1">
        <v>30</v>
      </c>
      <c r="D935" s="9" t="s">
        <v>7</v>
      </c>
      <c r="E935" s="8" t="s">
        <v>8</v>
      </c>
      <c r="F935" s="8">
        <v>30</v>
      </c>
      <c r="G935" s="32">
        <v>2</v>
      </c>
    </row>
    <row r="936" spans="1:9" x14ac:dyDescent="0.3">
      <c r="A936" s="3" t="s">
        <v>10</v>
      </c>
      <c r="B936" s="1">
        <v>155</v>
      </c>
      <c r="E936" s="10" t="s">
        <v>11</v>
      </c>
      <c r="F936" s="11">
        <f>SUM(F934:F935)</f>
        <v>155</v>
      </c>
      <c r="G936" s="13">
        <f>(G934*$F934+G935*$F935)/$F936</f>
        <v>52</v>
      </c>
    </row>
    <row r="937" spans="1:9" x14ac:dyDescent="0.3">
      <c r="A937" s="3" t="s">
        <v>12</v>
      </c>
      <c r="B937" s="1" t="s">
        <v>13</v>
      </c>
      <c r="E937" s="14"/>
      <c r="F937" s="15"/>
      <c r="G937" s="16"/>
    </row>
    <row r="938" spans="1:9" x14ac:dyDescent="0.3">
      <c r="E938" s="17"/>
      <c r="F938" s="1"/>
      <c r="G938" s="18"/>
    </row>
    <row r="939" spans="1:9" x14ac:dyDescent="0.3">
      <c r="E939" s="17"/>
      <c r="F939" s="1"/>
      <c r="G939" s="20"/>
    </row>
    <row r="940" spans="1:9" x14ac:dyDescent="0.3">
      <c r="A940" s="3" t="s">
        <v>451</v>
      </c>
    </row>
    <row r="941" spans="1:9" x14ac:dyDescent="0.3">
      <c r="A941" t="s">
        <v>421</v>
      </c>
      <c r="B941" s="1">
        <v>80</v>
      </c>
      <c r="D941" s="9" t="s">
        <v>422</v>
      </c>
      <c r="E941" s="8" t="s">
        <v>423</v>
      </c>
      <c r="F941" s="8">
        <v>80</v>
      </c>
      <c r="G941" s="32">
        <v>22</v>
      </c>
    </row>
    <row r="942" spans="1:9" x14ac:dyDescent="0.3">
      <c r="A942" t="s">
        <v>44</v>
      </c>
      <c r="B942" s="1">
        <v>10</v>
      </c>
      <c r="D942" s="9" t="s">
        <v>45</v>
      </c>
      <c r="E942" s="8" t="s">
        <v>46</v>
      </c>
      <c r="F942" s="8">
        <v>10</v>
      </c>
      <c r="G942" s="32">
        <v>899</v>
      </c>
    </row>
    <row r="943" spans="1:9" x14ac:dyDescent="0.3">
      <c r="A943" t="s">
        <v>21</v>
      </c>
      <c r="B943" s="1">
        <v>5</v>
      </c>
      <c r="D943" s="9" t="s">
        <v>22</v>
      </c>
      <c r="E943" s="8" t="s">
        <v>23</v>
      </c>
      <c r="F943" s="8">
        <v>5</v>
      </c>
      <c r="G943" s="32">
        <v>4</v>
      </c>
    </row>
    <row r="944" spans="1:9" x14ac:dyDescent="0.3">
      <c r="A944" t="s">
        <v>24</v>
      </c>
      <c r="B944" s="1">
        <v>0.3</v>
      </c>
      <c r="D944" s="9" t="s">
        <v>25</v>
      </c>
      <c r="E944" s="42" t="s">
        <v>26</v>
      </c>
      <c r="F944" s="9">
        <v>0.3</v>
      </c>
      <c r="G944" s="32">
        <v>0</v>
      </c>
    </row>
    <row r="945" spans="1:7" x14ac:dyDescent="0.3">
      <c r="A945" s="3" t="s">
        <v>10</v>
      </c>
      <c r="B945" s="1">
        <v>95.3</v>
      </c>
      <c r="E945" s="10" t="s">
        <v>11</v>
      </c>
      <c r="F945" s="11">
        <f>SUM(F941:F944)</f>
        <v>95.3</v>
      </c>
      <c r="G945" s="13">
        <f>(G941*$F941+G942*$F942+G943*$F943+G944*$F944)/$F945</f>
        <v>113.01154249737671</v>
      </c>
    </row>
    <row r="946" spans="1:7" x14ac:dyDescent="0.3">
      <c r="A946" s="3" t="s">
        <v>12</v>
      </c>
      <c r="B946" s="1" t="s">
        <v>13</v>
      </c>
      <c r="E946" s="14"/>
      <c r="F946" s="15"/>
      <c r="G946" s="16"/>
    </row>
    <row r="947" spans="1:7" x14ac:dyDescent="0.3">
      <c r="E947" s="17"/>
      <c r="F947" s="1"/>
      <c r="G947" s="18"/>
    </row>
    <row r="948" spans="1:7" x14ac:dyDescent="0.3">
      <c r="E948" s="17"/>
      <c r="F948" s="1"/>
      <c r="G948" s="20"/>
    </row>
    <row r="949" spans="1:7" x14ac:dyDescent="0.3">
      <c r="A949" s="3" t="s">
        <v>452</v>
      </c>
    </row>
    <row r="950" spans="1:7" x14ac:dyDescent="0.3">
      <c r="A950" t="s">
        <v>453</v>
      </c>
      <c r="B950" s="1">
        <v>50</v>
      </c>
      <c r="D950" s="9" t="s">
        <v>454</v>
      </c>
      <c r="E950" s="8" t="s">
        <v>455</v>
      </c>
      <c r="F950" s="8">
        <v>50</v>
      </c>
      <c r="G950" s="32">
        <v>352</v>
      </c>
    </row>
    <row r="951" spans="1:7" x14ac:dyDescent="0.3">
      <c r="A951" t="s">
        <v>44</v>
      </c>
      <c r="B951" s="1">
        <v>10</v>
      </c>
      <c r="D951" s="9" t="s">
        <v>45</v>
      </c>
      <c r="E951" s="8" t="s">
        <v>46</v>
      </c>
      <c r="F951" s="8">
        <v>10</v>
      </c>
      <c r="G951" s="32">
        <v>899</v>
      </c>
    </row>
    <row r="952" spans="1:7" x14ac:dyDescent="0.3">
      <c r="A952" t="s">
        <v>126</v>
      </c>
      <c r="B952" s="1">
        <v>18</v>
      </c>
      <c r="D952" s="9" t="s">
        <v>127</v>
      </c>
      <c r="E952" s="8" t="s">
        <v>128</v>
      </c>
      <c r="F952" s="8">
        <v>18</v>
      </c>
      <c r="G952" s="32">
        <v>28</v>
      </c>
    </row>
    <row r="953" spans="1:7" x14ac:dyDescent="0.3">
      <c r="A953" t="s">
        <v>825</v>
      </c>
      <c r="B953" s="1">
        <v>72</v>
      </c>
      <c r="D953" s="65" t="s">
        <v>213</v>
      </c>
      <c r="E953" s="42" t="s">
        <v>825</v>
      </c>
      <c r="F953" s="9">
        <v>72</v>
      </c>
      <c r="G953" s="37">
        <v>36</v>
      </c>
    </row>
    <row r="954" spans="1:7" x14ac:dyDescent="0.3">
      <c r="A954" t="s">
        <v>105</v>
      </c>
      <c r="B954" s="1">
        <v>3</v>
      </c>
      <c r="D954" s="9" t="s">
        <v>106</v>
      </c>
      <c r="E954" s="42" t="s">
        <v>107</v>
      </c>
      <c r="F954" s="9">
        <v>3</v>
      </c>
      <c r="G954" s="32">
        <v>30</v>
      </c>
    </row>
    <row r="955" spans="1:7" x14ac:dyDescent="0.3">
      <c r="A955" t="s">
        <v>24</v>
      </c>
      <c r="B955" s="1">
        <v>0.3</v>
      </c>
      <c r="D955" s="9" t="s">
        <v>25</v>
      </c>
      <c r="E955" s="42" t="s">
        <v>26</v>
      </c>
      <c r="F955" s="9">
        <v>0.3</v>
      </c>
      <c r="G955" s="32">
        <v>0</v>
      </c>
    </row>
    <row r="956" spans="1:7" x14ac:dyDescent="0.3">
      <c r="A956" t="s">
        <v>71</v>
      </c>
      <c r="B956" s="1">
        <v>0.1</v>
      </c>
      <c r="D956" s="9" t="s">
        <v>72</v>
      </c>
      <c r="E956" s="8" t="s">
        <v>73</v>
      </c>
      <c r="F956" s="8">
        <v>0.1</v>
      </c>
      <c r="G956" s="32">
        <v>270</v>
      </c>
    </row>
    <row r="957" spans="1:7" x14ac:dyDescent="0.3">
      <c r="A957" t="s">
        <v>456</v>
      </c>
      <c r="B957" s="1">
        <v>0.3</v>
      </c>
      <c r="D957" s="9" t="s">
        <v>457</v>
      </c>
      <c r="E957" s="8" t="s">
        <v>841</v>
      </c>
      <c r="F957" s="8">
        <v>0.3</v>
      </c>
      <c r="G957" s="32">
        <v>30</v>
      </c>
    </row>
    <row r="958" spans="1:7" x14ac:dyDescent="0.3">
      <c r="A958" s="3" t="s">
        <v>10</v>
      </c>
      <c r="B958" s="1">
        <v>153.69999999999999</v>
      </c>
      <c r="E958" s="10" t="s">
        <v>11</v>
      </c>
      <c r="F958" s="11">
        <f>SUM(F950:F957)</f>
        <v>153.70000000000002</v>
      </c>
      <c r="G958" s="13">
        <f>($F950*G950+G951*$F951+G952*$F952+G953*$F953+G954*$F954+G955*$F955+G956*$F956+G957*$F957)/$F958</f>
        <v>193.96226415094338</v>
      </c>
    </row>
    <row r="959" spans="1:7" x14ac:dyDescent="0.3">
      <c r="A959" s="3" t="s">
        <v>12</v>
      </c>
      <c r="B959" s="1" t="s">
        <v>13</v>
      </c>
      <c r="E959" s="14"/>
      <c r="F959" s="15"/>
      <c r="G959" s="16"/>
    </row>
    <row r="960" spans="1:7" x14ac:dyDescent="0.3">
      <c r="E960" s="17"/>
      <c r="F960" s="1"/>
      <c r="G960" s="18"/>
    </row>
    <row r="961" spans="1:7" x14ac:dyDescent="0.3">
      <c r="E961" s="17"/>
      <c r="F961" s="1"/>
      <c r="G961" s="20"/>
    </row>
    <row r="962" spans="1:7" x14ac:dyDescent="0.3">
      <c r="A962" s="3" t="s">
        <v>458</v>
      </c>
    </row>
    <row r="963" spans="1:7" x14ac:dyDescent="0.3">
      <c r="A963" t="s">
        <v>459</v>
      </c>
      <c r="B963" s="1">
        <v>100</v>
      </c>
      <c r="D963" s="9" t="s">
        <v>460</v>
      </c>
      <c r="E963" s="8" t="s">
        <v>461</v>
      </c>
      <c r="F963" s="8">
        <v>100</v>
      </c>
      <c r="G963" s="32">
        <v>157</v>
      </c>
    </row>
    <row r="964" spans="1:7" x14ac:dyDescent="0.3">
      <c r="A964" t="s">
        <v>44</v>
      </c>
      <c r="B964" s="1">
        <v>10</v>
      </c>
      <c r="D964" s="9" t="s">
        <v>45</v>
      </c>
      <c r="E964" s="8" t="s">
        <v>46</v>
      </c>
      <c r="F964" s="8">
        <v>10</v>
      </c>
      <c r="G964" s="32">
        <v>899</v>
      </c>
    </row>
    <row r="965" spans="1:7" x14ac:dyDescent="0.3">
      <c r="A965" t="s">
        <v>24</v>
      </c>
      <c r="B965" s="1">
        <v>0.3</v>
      </c>
      <c r="D965" s="9" t="s">
        <v>25</v>
      </c>
      <c r="E965" s="42" t="s">
        <v>26</v>
      </c>
      <c r="F965" s="9">
        <v>0.3</v>
      </c>
      <c r="G965" s="32">
        <v>0</v>
      </c>
    </row>
    <row r="966" spans="1:7" x14ac:dyDescent="0.3">
      <c r="A966" t="s">
        <v>98</v>
      </c>
      <c r="B966" s="1">
        <v>2</v>
      </c>
      <c r="D966" s="9" t="s">
        <v>99</v>
      </c>
      <c r="E966" s="8" t="s">
        <v>100</v>
      </c>
      <c r="F966" s="8">
        <v>2</v>
      </c>
      <c r="G966" s="32">
        <v>88</v>
      </c>
    </row>
    <row r="967" spans="1:7" x14ac:dyDescent="0.3">
      <c r="A967" t="s">
        <v>71</v>
      </c>
      <c r="B967" s="1">
        <v>0.1</v>
      </c>
      <c r="D967" s="9" t="s">
        <v>72</v>
      </c>
      <c r="E967" s="8" t="s">
        <v>73</v>
      </c>
      <c r="F967" s="8">
        <v>0.1</v>
      </c>
      <c r="G967" s="32">
        <v>270</v>
      </c>
    </row>
    <row r="968" spans="1:7" x14ac:dyDescent="0.3">
      <c r="A968" s="3" t="s">
        <v>10</v>
      </c>
      <c r="B968" s="1">
        <v>112.4</v>
      </c>
      <c r="E968" s="10" t="s">
        <v>11</v>
      </c>
      <c r="F968" s="11">
        <f>SUM(F963:F967)</f>
        <v>112.39999999999999</v>
      </c>
      <c r="G968" s="13">
        <f>(G963*$F963+G964*$F964+G965*$F965+G966*$F966+G967*$F967)/$F968</f>
        <v>221.46797153024912</v>
      </c>
    </row>
    <row r="969" spans="1:7" x14ac:dyDescent="0.3">
      <c r="A969" s="3" t="s">
        <v>12</v>
      </c>
      <c r="B969" s="1" t="s">
        <v>13</v>
      </c>
      <c r="E969" s="14"/>
      <c r="F969" s="15"/>
      <c r="G969" s="16"/>
    </row>
    <row r="970" spans="1:7" x14ac:dyDescent="0.3">
      <c r="E970" s="17"/>
      <c r="F970" s="1"/>
      <c r="G970" s="18"/>
    </row>
    <row r="971" spans="1:7" x14ac:dyDescent="0.3">
      <c r="E971" s="17"/>
      <c r="F971" s="1"/>
      <c r="G971" s="20"/>
    </row>
    <row r="972" spans="1:7" x14ac:dyDescent="0.3">
      <c r="A972" s="3" t="s">
        <v>462</v>
      </c>
    </row>
    <row r="973" spans="1:7" x14ac:dyDescent="0.3">
      <c r="A973" t="s">
        <v>463</v>
      </c>
      <c r="B973" s="1">
        <v>30</v>
      </c>
      <c r="D973" s="9" t="s">
        <v>464</v>
      </c>
      <c r="E973" s="8" t="s">
        <v>465</v>
      </c>
      <c r="F973" s="8">
        <v>30</v>
      </c>
      <c r="G973" s="32">
        <v>57</v>
      </c>
    </row>
    <row r="974" spans="1:7" x14ac:dyDescent="0.3">
      <c r="A974" t="s">
        <v>466</v>
      </c>
      <c r="B974" s="1">
        <v>30</v>
      </c>
      <c r="D974" s="9" t="s">
        <v>467</v>
      </c>
      <c r="E974" s="8" t="s">
        <v>468</v>
      </c>
      <c r="F974" s="8">
        <v>30</v>
      </c>
      <c r="G974" s="32">
        <v>43</v>
      </c>
    </row>
    <row r="975" spans="1:7" x14ac:dyDescent="0.3">
      <c r="A975" t="s">
        <v>469</v>
      </c>
      <c r="B975" s="1">
        <v>30</v>
      </c>
      <c r="D975" s="9" t="s">
        <v>470</v>
      </c>
      <c r="E975" s="8" t="s">
        <v>471</v>
      </c>
      <c r="F975" s="8">
        <v>30</v>
      </c>
      <c r="G975" s="32">
        <v>48</v>
      </c>
    </row>
    <row r="976" spans="1:7" x14ac:dyDescent="0.3">
      <c r="A976" t="s">
        <v>472</v>
      </c>
      <c r="B976" s="1">
        <v>20</v>
      </c>
      <c r="D976" s="9" t="s">
        <v>473</v>
      </c>
      <c r="E976" s="8" t="s">
        <v>474</v>
      </c>
      <c r="F976" s="8">
        <v>20</v>
      </c>
      <c r="G976" s="32">
        <v>76</v>
      </c>
    </row>
    <row r="977" spans="1:7" x14ac:dyDescent="0.3">
      <c r="A977" t="s">
        <v>53</v>
      </c>
      <c r="B977" s="1">
        <v>20</v>
      </c>
      <c r="D977" s="9" t="s">
        <v>54</v>
      </c>
      <c r="E977" s="8" t="s">
        <v>55</v>
      </c>
      <c r="F977" s="8">
        <v>20</v>
      </c>
      <c r="G977" s="32">
        <v>69</v>
      </c>
    </row>
    <row r="978" spans="1:7" x14ac:dyDescent="0.3">
      <c r="A978" t="s">
        <v>475</v>
      </c>
      <c r="B978" s="1">
        <v>20</v>
      </c>
      <c r="D978" s="9" t="s">
        <v>476</v>
      </c>
      <c r="E978" s="8" t="s">
        <v>477</v>
      </c>
      <c r="F978" s="8">
        <v>20</v>
      </c>
      <c r="G978" s="32">
        <v>64</v>
      </c>
    </row>
    <row r="979" spans="1:7" x14ac:dyDescent="0.3">
      <c r="A979" t="s">
        <v>56</v>
      </c>
      <c r="B979" s="1">
        <v>5</v>
      </c>
      <c r="D979" s="9" t="s">
        <v>57</v>
      </c>
      <c r="E979" s="8" t="s">
        <v>58</v>
      </c>
      <c r="F979" s="8">
        <v>5</v>
      </c>
      <c r="G979" s="32">
        <v>392</v>
      </c>
    </row>
    <row r="980" spans="1:7" x14ac:dyDescent="0.3">
      <c r="A980" t="s">
        <v>145</v>
      </c>
      <c r="B980" s="1">
        <v>5</v>
      </c>
      <c r="D980" s="9" t="s">
        <v>60</v>
      </c>
      <c r="E980" s="8" t="s">
        <v>61</v>
      </c>
      <c r="F980" s="8">
        <v>5</v>
      </c>
      <c r="G980" s="32">
        <v>6</v>
      </c>
    </row>
    <row r="981" spans="1:7" x14ac:dyDescent="0.3">
      <c r="A981" s="3" t="s">
        <v>10</v>
      </c>
      <c r="B981" s="1">
        <v>160</v>
      </c>
      <c r="E981" s="10" t="s">
        <v>11</v>
      </c>
      <c r="F981" s="11">
        <f>SUM(F973:F980)</f>
        <v>160</v>
      </c>
      <c r="G981" s="13">
        <f>($F973*G973+G974*$F974+G975*$F975+G976*$F976+G977*$F977+G978*$F978+G979*$F979+G980*$F980)/$F981</f>
        <v>66.3125</v>
      </c>
    </row>
    <row r="982" spans="1:7" x14ac:dyDescent="0.3">
      <c r="A982" s="3" t="s">
        <v>12</v>
      </c>
      <c r="B982" s="1" t="s">
        <v>13</v>
      </c>
      <c r="E982" s="14"/>
      <c r="F982" s="15"/>
      <c r="G982" s="16"/>
    </row>
    <row r="983" spans="1:7" x14ac:dyDescent="0.3">
      <c r="E983" s="17"/>
      <c r="F983" s="1"/>
      <c r="G983" s="18"/>
    </row>
    <row r="984" spans="1:7" x14ac:dyDescent="0.3">
      <c r="E984" s="17"/>
      <c r="F984" s="1"/>
      <c r="G984" s="20"/>
    </row>
    <row r="985" spans="1:7" x14ac:dyDescent="0.3">
      <c r="A985" s="3" t="s">
        <v>478</v>
      </c>
    </row>
    <row r="986" spans="1:7" x14ac:dyDescent="0.3">
      <c r="A986" t="s">
        <v>463</v>
      </c>
      <c r="B986" s="1">
        <v>30</v>
      </c>
      <c r="D986" s="9" t="s">
        <v>464</v>
      </c>
      <c r="E986" s="8" t="s">
        <v>465</v>
      </c>
      <c r="F986" s="8">
        <v>30</v>
      </c>
      <c r="G986" s="32">
        <v>57</v>
      </c>
    </row>
    <row r="987" spans="1:7" x14ac:dyDescent="0.3">
      <c r="A987" t="s">
        <v>466</v>
      </c>
      <c r="B987" s="1">
        <v>30</v>
      </c>
      <c r="D987" s="9" t="s">
        <v>467</v>
      </c>
      <c r="E987" s="8" t="s">
        <v>468</v>
      </c>
      <c r="F987" s="8">
        <v>30</v>
      </c>
      <c r="G987" s="32">
        <v>43</v>
      </c>
    </row>
    <row r="988" spans="1:7" x14ac:dyDescent="0.3">
      <c r="A988" t="s">
        <v>53</v>
      </c>
      <c r="B988" s="1">
        <v>20</v>
      </c>
      <c r="D988" s="9" t="s">
        <v>54</v>
      </c>
      <c r="E988" s="8" t="s">
        <v>55</v>
      </c>
      <c r="F988" s="8">
        <v>20</v>
      </c>
      <c r="G988" s="32">
        <v>69</v>
      </c>
    </row>
    <row r="989" spans="1:7" x14ac:dyDescent="0.3">
      <c r="A989" t="s">
        <v>469</v>
      </c>
      <c r="B989" s="1">
        <v>30</v>
      </c>
      <c r="D989" s="9" t="s">
        <v>470</v>
      </c>
      <c r="E989" s="8" t="s">
        <v>471</v>
      </c>
      <c r="F989" s="8">
        <v>30</v>
      </c>
      <c r="G989" s="32">
        <v>48</v>
      </c>
    </row>
    <row r="990" spans="1:7" x14ac:dyDescent="0.3">
      <c r="A990" t="s">
        <v>475</v>
      </c>
      <c r="B990" s="1">
        <v>20</v>
      </c>
      <c r="D990" s="9" t="s">
        <v>476</v>
      </c>
      <c r="E990" s="8" t="s">
        <v>477</v>
      </c>
      <c r="F990" s="8">
        <v>20</v>
      </c>
      <c r="G990" s="32">
        <v>64</v>
      </c>
    </row>
    <row r="991" spans="1:7" x14ac:dyDescent="0.3">
      <c r="A991" t="s">
        <v>472</v>
      </c>
      <c r="B991" s="1">
        <v>20</v>
      </c>
      <c r="D991" s="9" t="s">
        <v>473</v>
      </c>
      <c r="E991" s="8" t="s">
        <v>474</v>
      </c>
      <c r="F991" s="8">
        <v>20</v>
      </c>
      <c r="G991" s="32">
        <v>76</v>
      </c>
    </row>
    <row r="992" spans="1:7" x14ac:dyDescent="0.3">
      <c r="A992" t="s">
        <v>870</v>
      </c>
      <c r="B992" s="1">
        <v>100</v>
      </c>
      <c r="D992" s="9" t="s">
        <v>9</v>
      </c>
      <c r="E992" s="8" t="s">
        <v>884</v>
      </c>
      <c r="F992" s="8">
        <v>100</v>
      </c>
      <c r="G992" s="32">
        <v>218</v>
      </c>
    </row>
    <row r="993" spans="1:7" x14ac:dyDescent="0.3">
      <c r="A993" s="3" t="s">
        <v>10</v>
      </c>
      <c r="B993" s="1">
        <v>250</v>
      </c>
      <c r="E993" s="10" t="s">
        <v>11</v>
      </c>
      <c r="F993" s="11">
        <f>SUM(F986:F992)</f>
        <v>250</v>
      </c>
      <c r="G993" s="13">
        <f>(G986*$F986+G987*$F987+G988*$F988+G989*$F989+G990*$F990+G991*$F991+G992*$F992)/$F993</f>
        <v>121.68</v>
      </c>
    </row>
    <row r="994" spans="1:7" x14ac:dyDescent="0.3">
      <c r="A994" s="3" t="s">
        <v>12</v>
      </c>
      <c r="B994" s="1" t="s">
        <v>13</v>
      </c>
      <c r="E994" s="14"/>
      <c r="F994" s="15"/>
      <c r="G994" s="16"/>
    </row>
    <row r="995" spans="1:7" x14ac:dyDescent="0.3">
      <c r="E995" s="17"/>
      <c r="F995" s="1"/>
      <c r="G995" s="18"/>
    </row>
    <row r="996" spans="1:7" x14ac:dyDescent="0.3">
      <c r="E996" s="17"/>
      <c r="F996" s="1"/>
      <c r="G996" s="20"/>
    </row>
    <row r="997" spans="1:7" x14ac:dyDescent="0.3">
      <c r="A997" s="3" t="s">
        <v>479</v>
      </c>
    </row>
    <row r="998" spans="1:7" x14ac:dyDescent="0.3">
      <c r="A998" t="s">
        <v>480</v>
      </c>
      <c r="B998" s="1">
        <v>150</v>
      </c>
      <c r="D998" s="9" t="s">
        <v>481</v>
      </c>
      <c r="E998" s="8" t="s">
        <v>482</v>
      </c>
      <c r="F998" s="8">
        <v>150</v>
      </c>
      <c r="G998" s="32">
        <v>44</v>
      </c>
    </row>
    <row r="999" spans="1:7" x14ac:dyDescent="0.3">
      <c r="A999" t="s">
        <v>56</v>
      </c>
      <c r="B999" s="1">
        <v>5</v>
      </c>
      <c r="D999" s="9" t="s">
        <v>57</v>
      </c>
      <c r="E999" s="8" t="s">
        <v>58</v>
      </c>
      <c r="F999" s="8">
        <v>5</v>
      </c>
      <c r="G999" s="32">
        <v>392</v>
      </c>
    </row>
    <row r="1000" spans="1:7" x14ac:dyDescent="0.3">
      <c r="A1000" t="s">
        <v>132</v>
      </c>
      <c r="B1000" s="1">
        <v>2</v>
      </c>
      <c r="D1000" s="9" t="s">
        <v>133</v>
      </c>
      <c r="E1000" s="8" t="s">
        <v>134</v>
      </c>
      <c r="F1000" s="8">
        <v>2</v>
      </c>
      <c r="G1000" s="32">
        <v>301</v>
      </c>
    </row>
    <row r="1001" spans="1:7" x14ac:dyDescent="0.3">
      <c r="A1001" s="3" t="s">
        <v>10</v>
      </c>
      <c r="B1001" s="1">
        <v>157</v>
      </c>
      <c r="E1001" s="10" t="s">
        <v>11</v>
      </c>
      <c r="F1001" s="11">
        <f>SUM(F998:F1000)</f>
        <v>157</v>
      </c>
      <c r="G1001" s="13">
        <f>(G998*$F998+G999*$F999+G1000*$F1000)/$F1001</f>
        <v>58.35668789808917</v>
      </c>
    </row>
    <row r="1002" spans="1:7" x14ac:dyDescent="0.3">
      <c r="A1002" s="3" t="s">
        <v>12</v>
      </c>
      <c r="B1002" s="1" t="s">
        <v>13</v>
      </c>
      <c r="E1002" s="14"/>
      <c r="F1002" s="15"/>
      <c r="G1002" s="16"/>
    </row>
    <row r="1003" spans="1:7" x14ac:dyDescent="0.3">
      <c r="E1003" s="17"/>
      <c r="F1003" s="1"/>
      <c r="G1003" s="18"/>
    </row>
    <row r="1004" spans="1:7" x14ac:dyDescent="0.3">
      <c r="E1004" s="17"/>
      <c r="F1004" s="1"/>
      <c r="G1004" s="20"/>
    </row>
    <row r="1005" spans="1:7" x14ac:dyDescent="0.3">
      <c r="A1005" s="3" t="s">
        <v>483</v>
      </c>
    </row>
    <row r="1006" spans="1:7" x14ac:dyDescent="0.3">
      <c r="A1006" t="s">
        <v>371</v>
      </c>
      <c r="B1006" s="1">
        <v>200</v>
      </c>
      <c r="D1006" s="9" t="s">
        <v>372</v>
      </c>
      <c r="E1006" s="8" t="s">
        <v>373</v>
      </c>
      <c r="F1006" s="8">
        <v>200</v>
      </c>
      <c r="G1006" s="32">
        <v>20</v>
      </c>
    </row>
    <row r="1007" spans="1:7" x14ac:dyDescent="0.3">
      <c r="A1007" t="s">
        <v>88</v>
      </c>
      <c r="B1007" s="1">
        <v>5</v>
      </c>
      <c r="D1007" s="9" t="s">
        <v>89</v>
      </c>
      <c r="E1007" s="8" t="s">
        <v>90</v>
      </c>
      <c r="F1007" s="8">
        <v>5</v>
      </c>
      <c r="G1007" s="32">
        <v>45</v>
      </c>
    </row>
    <row r="1008" spans="1:7" x14ac:dyDescent="0.3">
      <c r="A1008" t="s">
        <v>825</v>
      </c>
      <c r="B1008" s="1">
        <v>80</v>
      </c>
      <c r="D1008" s="65" t="s">
        <v>213</v>
      </c>
      <c r="E1008" s="8" t="s">
        <v>825</v>
      </c>
      <c r="F1008" s="9">
        <v>80</v>
      </c>
      <c r="G1008" s="37">
        <v>36</v>
      </c>
    </row>
    <row r="1009" spans="1:7" x14ac:dyDescent="0.3">
      <c r="A1009" t="s">
        <v>44</v>
      </c>
      <c r="B1009" s="1">
        <v>10</v>
      </c>
      <c r="D1009" s="9" t="s">
        <v>45</v>
      </c>
      <c r="E1009" s="8" t="s">
        <v>46</v>
      </c>
      <c r="F1009" s="8">
        <v>10</v>
      </c>
      <c r="G1009" s="32">
        <v>899</v>
      </c>
    </row>
    <row r="1010" spans="1:7" x14ac:dyDescent="0.3">
      <c r="A1010" t="s">
        <v>24</v>
      </c>
      <c r="B1010" s="1">
        <v>0.3</v>
      </c>
      <c r="D1010" s="9" t="s">
        <v>25</v>
      </c>
      <c r="E1010" s="42" t="s">
        <v>26</v>
      </c>
      <c r="F1010" s="9">
        <v>0.3</v>
      </c>
      <c r="G1010" s="32">
        <v>0</v>
      </c>
    </row>
    <row r="1011" spans="1:7" x14ac:dyDescent="0.3">
      <c r="A1011" t="s">
        <v>174</v>
      </c>
      <c r="B1011" s="1">
        <v>5</v>
      </c>
      <c r="D1011" s="9" t="s">
        <v>175</v>
      </c>
      <c r="E1011" s="8" t="s">
        <v>176</v>
      </c>
      <c r="F1011" s="8">
        <v>5</v>
      </c>
      <c r="G1011" s="32">
        <v>49</v>
      </c>
    </row>
    <row r="1012" spans="1:7" x14ac:dyDescent="0.3">
      <c r="A1012" s="3" t="s">
        <v>10</v>
      </c>
      <c r="B1012" s="1">
        <v>300.3</v>
      </c>
      <c r="E1012" s="10" t="s">
        <v>11</v>
      </c>
      <c r="F1012" s="11">
        <f>SUM(F1006:F1011)</f>
        <v>300.3</v>
      </c>
      <c r="G1012" s="13">
        <f>(G1006*$F1006+G1007*$F1007+G1008*$F1008+G1009*$F1009+G1010*$F1010+G1011*$F1011)/$F1012</f>
        <v>54.412254412254413</v>
      </c>
    </row>
    <row r="1013" spans="1:7" x14ac:dyDescent="0.3">
      <c r="A1013" s="3" t="s">
        <v>12</v>
      </c>
      <c r="B1013" s="1" t="s">
        <v>13</v>
      </c>
      <c r="E1013" s="14"/>
      <c r="F1013" s="15"/>
      <c r="G1013" s="16"/>
    </row>
    <row r="1014" spans="1:7" x14ac:dyDescent="0.3">
      <c r="E1014" s="17"/>
      <c r="F1014" s="1"/>
      <c r="G1014" s="18"/>
    </row>
    <row r="1015" spans="1:7" x14ac:dyDescent="0.3">
      <c r="E1015" s="17"/>
      <c r="F1015" s="1"/>
      <c r="G1015" s="20"/>
    </row>
    <row r="1016" spans="1:7" x14ac:dyDescent="0.3">
      <c r="A1016" s="3" t="s">
        <v>484</v>
      </c>
    </row>
    <row r="1017" spans="1:7" x14ac:dyDescent="0.3">
      <c r="A1017" t="s">
        <v>371</v>
      </c>
      <c r="B1017" s="1">
        <v>200</v>
      </c>
      <c r="D1017" s="9" t="s">
        <v>372</v>
      </c>
      <c r="E1017" s="8" t="s">
        <v>373</v>
      </c>
      <c r="F1017" s="8">
        <v>200</v>
      </c>
      <c r="G1017" s="32">
        <v>20</v>
      </c>
    </row>
    <row r="1018" spans="1:7" x14ac:dyDescent="0.3">
      <c r="A1018" t="s">
        <v>88</v>
      </c>
      <c r="B1018" s="1">
        <v>2</v>
      </c>
      <c r="D1018" s="9" t="s">
        <v>89</v>
      </c>
      <c r="E1018" s="8" t="s">
        <v>90</v>
      </c>
      <c r="F1018" s="8">
        <v>2</v>
      </c>
      <c r="G1018" s="32">
        <v>45</v>
      </c>
    </row>
    <row r="1019" spans="1:7" x14ac:dyDescent="0.3">
      <c r="A1019" t="s">
        <v>44</v>
      </c>
      <c r="B1019" s="1">
        <v>10</v>
      </c>
      <c r="D1019" s="9" t="s">
        <v>45</v>
      </c>
      <c r="E1019" s="8" t="s">
        <v>46</v>
      </c>
      <c r="F1019" s="8">
        <v>10</v>
      </c>
      <c r="G1019" s="32">
        <v>899</v>
      </c>
    </row>
    <row r="1020" spans="1:7" x14ac:dyDescent="0.3">
      <c r="A1020" t="s">
        <v>24</v>
      </c>
      <c r="B1020" s="1">
        <v>0.3</v>
      </c>
      <c r="D1020" s="9" t="s">
        <v>25</v>
      </c>
      <c r="E1020" s="42" t="s">
        <v>26</v>
      </c>
      <c r="F1020" s="9">
        <v>0.3</v>
      </c>
      <c r="G1020" s="32">
        <v>0</v>
      </c>
    </row>
    <row r="1021" spans="1:7" x14ac:dyDescent="0.3">
      <c r="A1021" s="3" t="s">
        <v>10</v>
      </c>
      <c r="B1021" s="1">
        <v>212.3</v>
      </c>
      <c r="E1021" s="10" t="s">
        <v>11</v>
      </c>
      <c r="F1021" s="11">
        <f>SUM(F1017:F1020)</f>
        <v>212.3</v>
      </c>
      <c r="G1021" s="13">
        <f>(G1017*$F1017+G1018*$F1018+G1019*$F1019+G1020*$F1020)/$F1021</f>
        <v>61.61092793217145</v>
      </c>
    </row>
    <row r="1022" spans="1:7" x14ac:dyDescent="0.3">
      <c r="A1022" s="3" t="s">
        <v>12</v>
      </c>
      <c r="B1022" s="1" t="s">
        <v>13</v>
      </c>
      <c r="E1022" s="14"/>
      <c r="F1022" s="15"/>
      <c r="G1022" s="16"/>
    </row>
    <row r="1023" spans="1:7" x14ac:dyDescent="0.3">
      <c r="E1023" s="17"/>
      <c r="F1023" s="1"/>
      <c r="G1023" s="18"/>
    </row>
    <row r="1024" spans="1:7" x14ac:dyDescent="0.3">
      <c r="E1024" s="17"/>
      <c r="F1024" s="1"/>
      <c r="G1024" s="20"/>
    </row>
    <row r="1025" spans="1:7" x14ac:dyDescent="0.3">
      <c r="A1025" s="3" t="s">
        <v>485</v>
      </c>
    </row>
    <row r="1026" spans="1:7" x14ac:dyDescent="0.3">
      <c r="A1026" t="s">
        <v>371</v>
      </c>
      <c r="B1026" s="1">
        <v>200</v>
      </c>
      <c r="D1026" s="9" t="s">
        <v>372</v>
      </c>
      <c r="E1026" s="8" t="s">
        <v>373</v>
      </c>
      <c r="F1026" s="8">
        <v>200</v>
      </c>
      <c r="G1026" s="32">
        <v>20</v>
      </c>
    </row>
    <row r="1027" spans="1:7" x14ac:dyDescent="0.3">
      <c r="A1027" t="s">
        <v>171</v>
      </c>
      <c r="B1027" s="1">
        <v>80</v>
      </c>
      <c r="D1027" s="9" t="s">
        <v>172</v>
      </c>
      <c r="E1027" s="8" t="s">
        <v>173</v>
      </c>
      <c r="F1027" s="8">
        <v>80</v>
      </c>
      <c r="G1027" s="32">
        <v>253</v>
      </c>
    </row>
    <row r="1028" spans="1:7" x14ac:dyDescent="0.3">
      <c r="A1028" t="s">
        <v>44</v>
      </c>
      <c r="B1028" s="1">
        <v>25</v>
      </c>
      <c r="D1028" s="9" t="s">
        <v>45</v>
      </c>
      <c r="E1028" s="8" t="s">
        <v>46</v>
      </c>
      <c r="F1028" s="8">
        <v>25</v>
      </c>
      <c r="G1028" s="32">
        <v>899</v>
      </c>
    </row>
    <row r="1029" spans="1:7" x14ac:dyDescent="0.3">
      <c r="A1029" t="s">
        <v>258</v>
      </c>
      <c r="B1029" s="1">
        <v>20</v>
      </c>
      <c r="D1029" s="9" t="s">
        <v>259</v>
      </c>
      <c r="E1029" s="8" t="s">
        <v>260</v>
      </c>
      <c r="F1029" s="8">
        <v>20</v>
      </c>
      <c r="G1029" s="32">
        <v>128</v>
      </c>
    </row>
    <row r="1030" spans="1:7" x14ac:dyDescent="0.3">
      <c r="A1030" t="s">
        <v>66</v>
      </c>
      <c r="B1030" s="1">
        <v>10</v>
      </c>
      <c r="D1030" s="9" t="s">
        <v>67</v>
      </c>
      <c r="E1030" s="8" t="s">
        <v>68</v>
      </c>
      <c r="F1030" s="8">
        <v>10</v>
      </c>
      <c r="G1030" s="32">
        <v>348</v>
      </c>
    </row>
    <row r="1031" spans="1:7" x14ac:dyDescent="0.3">
      <c r="A1031" t="s">
        <v>174</v>
      </c>
      <c r="B1031" s="1">
        <v>2</v>
      </c>
      <c r="D1031" s="9" t="s">
        <v>175</v>
      </c>
      <c r="E1031" s="8" t="s">
        <v>176</v>
      </c>
      <c r="F1031" s="8">
        <v>2</v>
      </c>
      <c r="G1031" s="32">
        <v>49</v>
      </c>
    </row>
    <row r="1032" spans="1:7" x14ac:dyDescent="0.3">
      <c r="A1032" t="s">
        <v>24</v>
      </c>
      <c r="B1032" s="1">
        <v>0.3</v>
      </c>
      <c r="D1032" s="9" t="s">
        <v>25</v>
      </c>
      <c r="E1032" s="42" t="s">
        <v>26</v>
      </c>
      <c r="F1032" s="9">
        <v>0.3</v>
      </c>
      <c r="G1032" s="32">
        <v>0</v>
      </c>
    </row>
    <row r="1033" spans="1:7" x14ac:dyDescent="0.3">
      <c r="A1033" s="3" t="s">
        <v>10</v>
      </c>
      <c r="B1033" s="1">
        <v>337.3</v>
      </c>
      <c r="E1033" s="10" t="s">
        <v>11</v>
      </c>
      <c r="F1033" s="11">
        <f>SUM(F1026:F1032)</f>
        <v>337.3</v>
      </c>
      <c r="G1033" s="13">
        <f>($F1026*G1026+G1027*$F1027+G1028*$F1028+G1029*$F1029+G1030*$F1030+G1031*$F1031+G1032*$F1032)/$F1033</f>
        <v>156.69433738511711</v>
      </c>
    </row>
    <row r="1034" spans="1:7" x14ac:dyDescent="0.3">
      <c r="A1034" s="3" t="s">
        <v>12</v>
      </c>
      <c r="B1034" s="1" t="s">
        <v>13</v>
      </c>
      <c r="E1034" s="14"/>
      <c r="F1034" s="15"/>
      <c r="G1034" s="16"/>
    </row>
    <row r="1035" spans="1:7" x14ac:dyDescent="0.3">
      <c r="E1035" s="17"/>
      <c r="F1035" s="1"/>
      <c r="G1035" s="18"/>
    </row>
    <row r="1036" spans="1:7" x14ac:dyDescent="0.3">
      <c r="E1036" s="17"/>
      <c r="F1036" s="1"/>
      <c r="G1036" s="20"/>
    </row>
    <row r="1037" spans="1:7" x14ac:dyDescent="0.3">
      <c r="A1037" s="3" t="s">
        <v>486</v>
      </c>
    </row>
    <row r="1038" spans="1:7" x14ac:dyDescent="0.3">
      <c r="A1038" t="s">
        <v>304</v>
      </c>
      <c r="B1038" s="1">
        <v>150</v>
      </c>
      <c r="D1038" s="9" t="s">
        <v>305</v>
      </c>
      <c r="E1038" s="8" t="s">
        <v>306</v>
      </c>
      <c r="F1038" s="8">
        <v>150</v>
      </c>
      <c r="G1038" s="32">
        <v>71</v>
      </c>
    </row>
    <row r="1039" spans="1:7" x14ac:dyDescent="0.3">
      <c r="A1039" t="s">
        <v>44</v>
      </c>
      <c r="B1039" s="1">
        <v>10</v>
      </c>
      <c r="D1039" s="9" t="s">
        <v>45</v>
      </c>
      <c r="E1039" s="8" t="s">
        <v>46</v>
      </c>
      <c r="F1039" s="8">
        <v>10</v>
      </c>
      <c r="G1039" s="32">
        <v>899</v>
      </c>
    </row>
    <row r="1040" spans="1:7" x14ac:dyDescent="0.3">
      <c r="A1040" t="s">
        <v>24</v>
      </c>
      <c r="B1040" s="1">
        <v>0.3</v>
      </c>
      <c r="D1040" s="9" t="s">
        <v>25</v>
      </c>
      <c r="E1040" s="42" t="s">
        <v>26</v>
      </c>
      <c r="F1040" s="9">
        <v>0.3</v>
      </c>
      <c r="G1040" s="32">
        <v>0</v>
      </c>
    </row>
    <row r="1041" spans="1:7" x14ac:dyDescent="0.3">
      <c r="A1041" t="s">
        <v>105</v>
      </c>
      <c r="B1041" s="1">
        <v>3</v>
      </c>
      <c r="D1041" s="9" t="s">
        <v>106</v>
      </c>
      <c r="E1041" s="42" t="s">
        <v>107</v>
      </c>
      <c r="F1041" s="9">
        <v>3</v>
      </c>
      <c r="G1041" s="32">
        <v>30</v>
      </c>
    </row>
    <row r="1042" spans="1:7" x14ac:dyDescent="0.3">
      <c r="A1042" s="3" t="s">
        <v>10</v>
      </c>
      <c r="B1042" s="1">
        <v>163.30000000000001</v>
      </c>
      <c r="E1042" s="10" t="s">
        <v>11</v>
      </c>
      <c r="F1042" s="11">
        <f>SUM(F1038:F1041)</f>
        <v>163.30000000000001</v>
      </c>
      <c r="G1042" s="13">
        <f>(G1038*$F1038+G1039*$F1039+G1040*$F1040+G1041*$F1041)/$F1042</f>
        <v>120.8205756276791</v>
      </c>
    </row>
    <row r="1043" spans="1:7" x14ac:dyDescent="0.3">
      <c r="A1043" s="3" t="s">
        <v>12</v>
      </c>
      <c r="B1043" s="1" t="s">
        <v>13</v>
      </c>
      <c r="E1043" s="14"/>
      <c r="F1043" s="15"/>
      <c r="G1043" s="16"/>
    </row>
    <row r="1044" spans="1:7" x14ac:dyDescent="0.3">
      <c r="A1044" s="3"/>
      <c r="E1044" s="17"/>
      <c r="F1044" s="1"/>
      <c r="G1044" s="18"/>
    </row>
    <row r="1045" spans="1:7" x14ac:dyDescent="0.3">
      <c r="A1045" s="3"/>
      <c r="E1045" s="17"/>
      <c r="F1045" s="1"/>
      <c r="G1045" s="20"/>
    </row>
    <row r="1046" spans="1:7" x14ac:dyDescent="0.3">
      <c r="A1046" s="3" t="s">
        <v>487</v>
      </c>
    </row>
    <row r="1047" spans="1:7" x14ac:dyDescent="0.3">
      <c r="A1047" t="s">
        <v>41</v>
      </c>
      <c r="B1047" s="1">
        <v>125</v>
      </c>
      <c r="D1047" s="9" t="s">
        <v>42</v>
      </c>
      <c r="E1047" s="8" t="s">
        <v>43</v>
      </c>
      <c r="F1047" s="8">
        <v>125</v>
      </c>
      <c r="G1047" s="32">
        <v>6</v>
      </c>
    </row>
    <row r="1048" spans="1:7" x14ac:dyDescent="0.3">
      <c r="A1048" t="s">
        <v>895</v>
      </c>
      <c r="B1048" s="1">
        <v>30</v>
      </c>
      <c r="D1048" s="65" t="s">
        <v>489</v>
      </c>
      <c r="E1048" s="65" t="s">
        <v>823</v>
      </c>
      <c r="F1048" s="9">
        <v>30</v>
      </c>
      <c r="G1048" s="18">
        <v>24</v>
      </c>
    </row>
    <row r="1049" spans="1:7" x14ac:dyDescent="0.3">
      <c r="A1049" t="s">
        <v>123</v>
      </c>
      <c r="B1049" s="1">
        <v>50</v>
      </c>
      <c r="D1049" s="9" t="s">
        <v>124</v>
      </c>
      <c r="E1049" s="8" t="s">
        <v>125</v>
      </c>
      <c r="F1049" s="8">
        <v>50</v>
      </c>
      <c r="G1049" s="32">
        <v>39</v>
      </c>
    </row>
    <row r="1050" spans="1:7" x14ac:dyDescent="0.3">
      <c r="A1050" t="s">
        <v>840</v>
      </c>
      <c r="B1050" s="1">
        <v>50</v>
      </c>
      <c r="D1050" s="9" t="s">
        <v>308</v>
      </c>
      <c r="E1050" s="8" t="s">
        <v>840</v>
      </c>
      <c r="F1050" s="8">
        <v>50</v>
      </c>
      <c r="G1050" s="32">
        <v>21</v>
      </c>
    </row>
    <row r="1051" spans="1:7" x14ac:dyDescent="0.3">
      <c r="A1051" t="s">
        <v>126</v>
      </c>
      <c r="B1051" s="1">
        <v>50</v>
      </c>
      <c r="D1051" s="9" t="s">
        <v>127</v>
      </c>
      <c r="E1051" s="8" t="s">
        <v>128</v>
      </c>
      <c r="F1051" s="8">
        <v>50</v>
      </c>
      <c r="G1051" s="32">
        <v>28</v>
      </c>
    </row>
    <row r="1052" spans="1:7" x14ac:dyDescent="0.3">
      <c r="A1052" t="s">
        <v>129</v>
      </c>
      <c r="B1052" s="1">
        <v>20</v>
      </c>
      <c r="D1052" s="9" t="s">
        <v>130</v>
      </c>
      <c r="E1052" s="8" t="s">
        <v>131</v>
      </c>
      <c r="F1052" s="8">
        <v>20</v>
      </c>
      <c r="G1052" s="32">
        <v>23</v>
      </c>
    </row>
    <row r="1053" spans="1:7" x14ac:dyDescent="0.3">
      <c r="A1053" t="s">
        <v>490</v>
      </c>
      <c r="B1053" s="1">
        <v>25</v>
      </c>
      <c r="D1053" s="65" t="s">
        <v>491</v>
      </c>
      <c r="E1053" s="8" t="s">
        <v>889</v>
      </c>
      <c r="F1053" s="8">
        <v>25</v>
      </c>
      <c r="G1053" s="35">
        <v>58</v>
      </c>
    </row>
    <row r="1054" spans="1:7" x14ac:dyDescent="0.3">
      <c r="A1054" t="s">
        <v>270</v>
      </c>
      <c r="B1054" s="1">
        <v>25</v>
      </c>
      <c r="D1054" s="9" t="s">
        <v>271</v>
      </c>
      <c r="E1054" s="8" t="s">
        <v>272</v>
      </c>
      <c r="F1054" s="8">
        <v>25</v>
      </c>
      <c r="G1054" s="32">
        <v>70</v>
      </c>
    </row>
    <row r="1055" spans="1:7" x14ac:dyDescent="0.3">
      <c r="A1055" t="s">
        <v>274</v>
      </c>
      <c r="B1055" s="1">
        <v>50</v>
      </c>
      <c r="D1055" s="9" t="s">
        <v>275</v>
      </c>
      <c r="E1055" s="8" t="s">
        <v>276</v>
      </c>
      <c r="F1055" s="8">
        <v>50</v>
      </c>
      <c r="G1055" s="32">
        <v>80</v>
      </c>
    </row>
    <row r="1056" spans="1:7" x14ac:dyDescent="0.3">
      <c r="A1056" t="s">
        <v>88</v>
      </c>
      <c r="B1056" s="1">
        <v>2</v>
      </c>
      <c r="D1056" s="9" t="s">
        <v>89</v>
      </c>
      <c r="E1056" s="8" t="s">
        <v>90</v>
      </c>
      <c r="F1056" s="8">
        <v>2</v>
      </c>
      <c r="G1056" s="32">
        <v>45</v>
      </c>
    </row>
    <row r="1057" spans="1:7" x14ac:dyDescent="0.3">
      <c r="A1057" t="s">
        <v>44</v>
      </c>
      <c r="B1057" s="1">
        <v>10</v>
      </c>
      <c r="D1057" s="9" t="s">
        <v>45</v>
      </c>
      <c r="E1057" s="8" t="s">
        <v>46</v>
      </c>
      <c r="F1057" s="8">
        <v>10</v>
      </c>
      <c r="G1057" s="32">
        <v>899</v>
      </c>
    </row>
    <row r="1058" spans="1:7" x14ac:dyDescent="0.3">
      <c r="A1058" t="s">
        <v>139</v>
      </c>
      <c r="B1058" s="1">
        <v>5</v>
      </c>
      <c r="D1058" s="9" t="s">
        <v>140</v>
      </c>
      <c r="E1058" s="8" t="s">
        <v>141</v>
      </c>
      <c r="F1058" s="8">
        <v>5</v>
      </c>
      <c r="G1058" s="32">
        <v>387</v>
      </c>
    </row>
    <row r="1059" spans="1:7" x14ac:dyDescent="0.3">
      <c r="A1059" t="s">
        <v>105</v>
      </c>
      <c r="B1059" s="1">
        <v>2</v>
      </c>
      <c r="D1059" s="9" t="s">
        <v>106</v>
      </c>
      <c r="E1059" s="42" t="s">
        <v>107</v>
      </c>
      <c r="F1059" s="9">
        <v>2</v>
      </c>
      <c r="G1059" s="32">
        <v>30</v>
      </c>
    </row>
    <row r="1060" spans="1:7" x14ac:dyDescent="0.3">
      <c r="A1060" t="s">
        <v>71</v>
      </c>
      <c r="B1060" s="1">
        <v>0.1</v>
      </c>
      <c r="D1060" s="9" t="s">
        <v>72</v>
      </c>
      <c r="E1060" s="8" t="s">
        <v>73</v>
      </c>
      <c r="F1060" s="8">
        <v>0.1</v>
      </c>
      <c r="G1060" s="32">
        <v>270</v>
      </c>
    </row>
    <row r="1061" spans="1:7" x14ac:dyDescent="0.3">
      <c r="A1061" s="3" t="s">
        <v>10</v>
      </c>
      <c r="B1061" s="1">
        <v>444.1</v>
      </c>
      <c r="E1061" s="10" t="s">
        <v>11</v>
      </c>
      <c r="F1061" s="11">
        <f>SUM(F1047:F1060)</f>
        <v>444.1</v>
      </c>
      <c r="G1061" s="13">
        <f>($F1047*G1047+$F1048*G1048+$F1049*G1049+$F1053*G1053+$F1052*G1052+$F1051*G1051+$F1050*G1050+G1054*$F1054+G1055*$F1055+G1056*$F1056+G1057*$F1057+G1058*$F1058+G1059*$F1059+G1060*$F1060)/$F1061</f>
        <v>55.46498536365683</v>
      </c>
    </row>
    <row r="1062" spans="1:7" x14ac:dyDescent="0.3">
      <c r="A1062" s="3" t="s">
        <v>12</v>
      </c>
      <c r="B1062" s="1" t="s">
        <v>13</v>
      </c>
      <c r="E1062" s="14"/>
      <c r="F1062" s="15"/>
      <c r="G1062" s="16"/>
    </row>
    <row r="1063" spans="1:7" x14ac:dyDescent="0.3">
      <c r="E1063" s="17"/>
      <c r="F1063" s="1"/>
      <c r="G1063" s="18"/>
    </row>
    <row r="1064" spans="1:7" x14ac:dyDescent="0.3">
      <c r="E1064" s="17"/>
      <c r="F1064" s="1"/>
      <c r="G1064" s="20"/>
    </row>
    <row r="1065" spans="1:7" x14ac:dyDescent="0.3">
      <c r="A1065" s="3" t="s">
        <v>492</v>
      </c>
    </row>
    <row r="1066" spans="1:7" x14ac:dyDescent="0.3">
      <c r="A1066" t="s">
        <v>262</v>
      </c>
      <c r="B1066" s="1">
        <v>125</v>
      </c>
      <c r="D1066" s="9" t="s">
        <v>263</v>
      </c>
      <c r="E1066" s="8" t="s">
        <v>264</v>
      </c>
      <c r="F1066" s="8">
        <v>125</v>
      </c>
      <c r="G1066" s="32">
        <v>5</v>
      </c>
    </row>
    <row r="1067" spans="1:7" x14ac:dyDescent="0.3">
      <c r="A1067" t="s">
        <v>840</v>
      </c>
      <c r="B1067" s="1">
        <v>40</v>
      </c>
      <c r="D1067" s="9" t="s">
        <v>308</v>
      </c>
      <c r="E1067" s="8" t="s">
        <v>840</v>
      </c>
      <c r="F1067" s="8">
        <v>40</v>
      </c>
      <c r="G1067" s="32">
        <v>21</v>
      </c>
    </row>
    <row r="1068" spans="1:7" x14ac:dyDescent="0.3">
      <c r="A1068" t="s">
        <v>895</v>
      </c>
      <c r="B1068" s="1">
        <v>30</v>
      </c>
      <c r="D1068" s="65" t="s">
        <v>489</v>
      </c>
      <c r="E1068" s="8" t="s">
        <v>823</v>
      </c>
      <c r="F1068" s="9">
        <v>30</v>
      </c>
      <c r="G1068" s="18">
        <v>24</v>
      </c>
    </row>
    <row r="1069" spans="1:7" x14ac:dyDescent="0.3">
      <c r="A1069" t="s">
        <v>374</v>
      </c>
      <c r="B1069" s="1">
        <v>30</v>
      </c>
      <c r="D1069" s="9" t="s">
        <v>375</v>
      </c>
      <c r="E1069" s="8" t="s">
        <v>376</v>
      </c>
      <c r="F1069" s="8">
        <v>30</v>
      </c>
      <c r="G1069" s="32">
        <v>14</v>
      </c>
    </row>
    <row r="1070" spans="1:7" x14ac:dyDescent="0.3">
      <c r="A1070" t="s">
        <v>123</v>
      </c>
      <c r="B1070" s="1">
        <v>50</v>
      </c>
      <c r="D1070" s="9" t="s">
        <v>124</v>
      </c>
      <c r="E1070" s="8" t="s">
        <v>125</v>
      </c>
      <c r="F1070" s="8">
        <v>50</v>
      </c>
      <c r="G1070" s="32">
        <v>39</v>
      </c>
    </row>
    <row r="1071" spans="1:7" x14ac:dyDescent="0.3">
      <c r="A1071" t="s">
        <v>126</v>
      </c>
      <c r="B1071" s="1">
        <v>30</v>
      </c>
      <c r="D1071" s="9" t="s">
        <v>127</v>
      </c>
      <c r="E1071" s="8" t="s">
        <v>128</v>
      </c>
      <c r="F1071" s="8">
        <v>30</v>
      </c>
      <c r="G1071" s="32">
        <v>28</v>
      </c>
    </row>
    <row r="1072" spans="1:7" x14ac:dyDescent="0.3">
      <c r="A1072" t="s">
        <v>129</v>
      </c>
      <c r="B1072" s="1">
        <v>20</v>
      </c>
      <c r="D1072" s="9" t="s">
        <v>130</v>
      </c>
      <c r="E1072" s="8" t="s">
        <v>131</v>
      </c>
      <c r="F1072" s="8">
        <v>20</v>
      </c>
      <c r="G1072" s="32">
        <v>23</v>
      </c>
    </row>
    <row r="1073" spans="1:7" x14ac:dyDescent="0.3">
      <c r="A1073" t="s">
        <v>88</v>
      </c>
      <c r="B1073" s="1">
        <v>2</v>
      </c>
      <c r="D1073" s="9" t="s">
        <v>89</v>
      </c>
      <c r="E1073" s="8" t="s">
        <v>90</v>
      </c>
      <c r="F1073" s="8">
        <v>2</v>
      </c>
      <c r="G1073" s="32">
        <v>45</v>
      </c>
    </row>
    <row r="1074" spans="1:7" x14ac:dyDescent="0.3">
      <c r="A1074" t="s">
        <v>44</v>
      </c>
      <c r="B1074" s="1">
        <v>10</v>
      </c>
      <c r="D1074" s="9" t="s">
        <v>45</v>
      </c>
      <c r="E1074" s="8" t="s">
        <v>46</v>
      </c>
      <c r="F1074" s="8">
        <v>10</v>
      </c>
      <c r="G1074" s="32">
        <v>899</v>
      </c>
    </row>
    <row r="1075" spans="1:7" x14ac:dyDescent="0.3">
      <c r="A1075" t="s">
        <v>139</v>
      </c>
      <c r="B1075" s="1">
        <v>5</v>
      </c>
      <c r="D1075" s="9" t="s">
        <v>140</v>
      </c>
      <c r="E1075" s="8" t="s">
        <v>141</v>
      </c>
      <c r="F1075" s="8">
        <v>5</v>
      </c>
      <c r="G1075" s="32">
        <v>387</v>
      </c>
    </row>
    <row r="1076" spans="1:7" x14ac:dyDescent="0.3">
      <c r="A1076" t="s">
        <v>105</v>
      </c>
      <c r="B1076" s="1">
        <v>2</v>
      </c>
      <c r="D1076" s="9" t="s">
        <v>106</v>
      </c>
      <c r="E1076" s="42" t="s">
        <v>107</v>
      </c>
      <c r="F1076" s="9">
        <v>2</v>
      </c>
      <c r="G1076" s="32">
        <v>30</v>
      </c>
    </row>
    <row r="1077" spans="1:7" x14ac:dyDescent="0.3">
      <c r="A1077" t="s">
        <v>71</v>
      </c>
      <c r="B1077" s="1">
        <v>0.1</v>
      </c>
      <c r="D1077" s="9" t="s">
        <v>72</v>
      </c>
      <c r="E1077" s="42" t="s">
        <v>73</v>
      </c>
      <c r="F1077" s="9">
        <v>0.1</v>
      </c>
      <c r="G1077" s="32">
        <v>270</v>
      </c>
    </row>
    <row r="1078" spans="1:7" x14ac:dyDescent="0.3">
      <c r="A1078" s="3" t="s">
        <v>10</v>
      </c>
      <c r="B1078" s="1">
        <v>344.1</v>
      </c>
      <c r="E1078" s="10" t="s">
        <v>11</v>
      </c>
      <c r="F1078" s="11">
        <f>SUM(F1066:F1077)</f>
        <v>344.1</v>
      </c>
      <c r="G1078" s="13">
        <f>($F1066*G1066+$F1070*G1070+$F1069*G1069+$F1068*G1068+$F1067*G1067+G1071*$F1071+G1072*$F1072+G1073*$F1073+G1074*$F1074+G1075*$F1075+G1076*$F1076+G1077*$F1077)/$F1078</f>
        <v>49.27927927927928</v>
      </c>
    </row>
    <row r="1079" spans="1:7" x14ac:dyDescent="0.3">
      <c r="A1079" s="3" t="s">
        <v>12</v>
      </c>
      <c r="B1079" s="1" t="s">
        <v>13</v>
      </c>
      <c r="E1079" s="14"/>
      <c r="F1079" s="15"/>
      <c r="G1079" s="16"/>
    </row>
    <row r="1080" spans="1:7" x14ac:dyDescent="0.3">
      <c r="E1080" s="17"/>
      <c r="F1080" s="1"/>
      <c r="G1080" s="18"/>
    </row>
    <row r="1081" spans="1:7" x14ac:dyDescent="0.3">
      <c r="E1081" s="17"/>
      <c r="F1081" s="1"/>
      <c r="G1081" s="20"/>
    </row>
    <row r="1082" spans="1:7" x14ac:dyDescent="0.3">
      <c r="A1082" s="3" t="s">
        <v>493</v>
      </c>
    </row>
    <row r="1083" spans="1:7" x14ac:dyDescent="0.3">
      <c r="A1083" t="s">
        <v>262</v>
      </c>
      <c r="B1083" s="1">
        <v>125</v>
      </c>
      <c r="D1083" s="9" t="s">
        <v>263</v>
      </c>
      <c r="E1083" s="8" t="s">
        <v>264</v>
      </c>
      <c r="F1083" s="8">
        <v>125</v>
      </c>
      <c r="G1083" s="32">
        <v>5</v>
      </c>
    </row>
    <row r="1084" spans="1:7" x14ac:dyDescent="0.3">
      <c r="A1084" t="s">
        <v>840</v>
      </c>
      <c r="B1084" s="1">
        <v>30</v>
      </c>
      <c r="D1084" s="9" t="s">
        <v>308</v>
      </c>
      <c r="E1084" s="8" t="s">
        <v>840</v>
      </c>
      <c r="F1084" s="8">
        <v>30</v>
      </c>
      <c r="G1084" s="32">
        <v>21</v>
      </c>
    </row>
    <row r="1085" spans="1:7" x14ac:dyDescent="0.3">
      <c r="A1085" t="s">
        <v>895</v>
      </c>
      <c r="B1085" s="1">
        <v>30</v>
      </c>
      <c r="D1085" s="65" t="s">
        <v>489</v>
      </c>
      <c r="E1085" s="8" t="s">
        <v>823</v>
      </c>
      <c r="F1085" s="9">
        <v>30</v>
      </c>
      <c r="G1085" s="18">
        <v>24</v>
      </c>
    </row>
    <row r="1086" spans="1:7" x14ac:dyDescent="0.3">
      <c r="A1086" t="s">
        <v>374</v>
      </c>
      <c r="B1086" s="1">
        <v>30</v>
      </c>
      <c r="D1086" s="9" t="s">
        <v>375</v>
      </c>
      <c r="E1086" s="8" t="s">
        <v>376</v>
      </c>
      <c r="F1086" s="8">
        <v>30</v>
      </c>
      <c r="G1086" s="32">
        <v>14</v>
      </c>
    </row>
    <row r="1087" spans="1:7" x14ac:dyDescent="0.3">
      <c r="A1087" t="s">
        <v>123</v>
      </c>
      <c r="B1087" s="1">
        <v>30</v>
      </c>
      <c r="D1087" s="9" t="s">
        <v>124</v>
      </c>
      <c r="E1087" s="8" t="s">
        <v>125</v>
      </c>
      <c r="F1087" s="8">
        <v>30</v>
      </c>
      <c r="G1087" s="32">
        <v>39</v>
      </c>
    </row>
    <row r="1088" spans="1:7" x14ac:dyDescent="0.3">
      <c r="A1088" t="s">
        <v>126</v>
      </c>
      <c r="B1088" s="1">
        <v>20</v>
      </c>
      <c r="D1088" s="9" t="s">
        <v>127</v>
      </c>
      <c r="E1088" s="8" t="s">
        <v>128</v>
      </c>
      <c r="F1088" s="8">
        <v>20</v>
      </c>
      <c r="G1088" s="32">
        <v>28</v>
      </c>
    </row>
    <row r="1089" spans="1:7" x14ac:dyDescent="0.3">
      <c r="A1089" t="s">
        <v>129</v>
      </c>
      <c r="B1089" s="1">
        <v>20</v>
      </c>
      <c r="D1089" s="9" t="s">
        <v>130</v>
      </c>
      <c r="E1089" s="8" t="s">
        <v>131</v>
      </c>
      <c r="F1089" s="8">
        <v>20</v>
      </c>
      <c r="G1089" s="32">
        <v>23</v>
      </c>
    </row>
    <row r="1090" spans="1:7" x14ac:dyDescent="0.3">
      <c r="A1090" t="s">
        <v>885</v>
      </c>
      <c r="B1090" s="1">
        <v>40</v>
      </c>
      <c r="D1090" s="9" t="s">
        <v>380</v>
      </c>
      <c r="E1090" s="8" t="s">
        <v>885</v>
      </c>
      <c r="F1090" s="8">
        <v>40</v>
      </c>
      <c r="G1090" s="32">
        <v>337</v>
      </c>
    </row>
    <row r="1091" spans="1:7" x14ac:dyDescent="0.3">
      <c r="A1091" t="s">
        <v>88</v>
      </c>
      <c r="B1091" s="1">
        <v>2</v>
      </c>
      <c r="D1091" s="9" t="s">
        <v>89</v>
      </c>
      <c r="E1091" s="8" t="s">
        <v>90</v>
      </c>
      <c r="F1091" s="8">
        <v>2</v>
      </c>
      <c r="G1091" s="32">
        <v>45</v>
      </c>
    </row>
    <row r="1092" spans="1:7" x14ac:dyDescent="0.3">
      <c r="A1092" t="s">
        <v>44</v>
      </c>
      <c r="B1092" s="1">
        <v>10</v>
      </c>
      <c r="D1092" s="9" t="s">
        <v>45</v>
      </c>
      <c r="E1092" s="8" t="s">
        <v>46</v>
      </c>
      <c r="F1092" s="8">
        <v>10</v>
      </c>
      <c r="G1092" s="32">
        <v>899</v>
      </c>
    </row>
    <row r="1093" spans="1:7" x14ac:dyDescent="0.3">
      <c r="A1093" t="s">
        <v>139</v>
      </c>
      <c r="B1093" s="1">
        <v>5</v>
      </c>
      <c r="D1093" s="9" t="s">
        <v>140</v>
      </c>
      <c r="E1093" s="8" t="s">
        <v>141</v>
      </c>
      <c r="F1093" s="8">
        <v>5</v>
      </c>
      <c r="G1093" s="32">
        <v>387</v>
      </c>
    </row>
    <row r="1094" spans="1:7" x14ac:dyDescent="0.3">
      <c r="A1094" t="s">
        <v>105</v>
      </c>
      <c r="B1094" s="1">
        <v>2</v>
      </c>
      <c r="D1094" s="9" t="s">
        <v>106</v>
      </c>
      <c r="E1094" s="42" t="s">
        <v>107</v>
      </c>
      <c r="F1094" s="9">
        <v>2</v>
      </c>
      <c r="G1094" s="32">
        <v>30</v>
      </c>
    </row>
    <row r="1095" spans="1:7" x14ac:dyDescent="0.3">
      <c r="A1095" t="s">
        <v>71</v>
      </c>
      <c r="B1095" s="1">
        <v>0.1</v>
      </c>
      <c r="D1095" s="9" t="s">
        <v>72</v>
      </c>
      <c r="E1095" s="42" t="s">
        <v>73</v>
      </c>
      <c r="F1095" s="9">
        <v>0.1</v>
      </c>
      <c r="G1095" s="32">
        <v>270</v>
      </c>
    </row>
    <row r="1096" spans="1:7" x14ac:dyDescent="0.3">
      <c r="A1096" s="3" t="s">
        <v>10</v>
      </c>
      <c r="B1096" s="1">
        <v>344.1</v>
      </c>
      <c r="E1096" s="10" t="s">
        <v>11</v>
      </c>
      <c r="F1096" s="11">
        <f>SUM(F1083:F1095)</f>
        <v>344.1</v>
      </c>
      <c r="G1096" s="13">
        <f>($F1083*G1083+$F1084*G1084+$F1088*G1088+$F1087*G1087+$F1086*G1086+$F1085*G1085+G1089*$F1089+G1090*$F1090+G1091*$F1091+G1092*$F1092+G1093*$F1093+G1094*$F1094+G1095*$F1095)/$F1096</f>
        <v>84.763150247021215</v>
      </c>
    </row>
    <row r="1097" spans="1:7" x14ac:dyDescent="0.3">
      <c r="A1097" s="3" t="s">
        <v>12</v>
      </c>
      <c r="B1097" s="1" t="s">
        <v>13</v>
      </c>
      <c r="E1097" s="14"/>
      <c r="F1097" s="15"/>
      <c r="G1097" s="16"/>
    </row>
    <row r="1098" spans="1:7" x14ac:dyDescent="0.3">
      <c r="E1098" s="17"/>
      <c r="F1098" s="1"/>
      <c r="G1098" s="18"/>
    </row>
    <row r="1099" spans="1:7" x14ac:dyDescent="0.3">
      <c r="E1099" s="17"/>
      <c r="F1099" s="1"/>
      <c r="G1099" s="20"/>
    </row>
    <row r="1100" spans="1:7" x14ac:dyDescent="0.3">
      <c r="A1100" s="3" t="s">
        <v>494</v>
      </c>
    </row>
    <row r="1101" spans="1:7" x14ac:dyDescent="0.3">
      <c r="A1101" t="s">
        <v>262</v>
      </c>
      <c r="B1101" s="1">
        <v>125</v>
      </c>
      <c r="D1101" s="9" t="s">
        <v>263</v>
      </c>
      <c r="E1101" s="8" t="s">
        <v>264</v>
      </c>
      <c r="F1101" s="8">
        <v>125</v>
      </c>
      <c r="G1101" s="32">
        <v>5</v>
      </c>
    </row>
    <row r="1102" spans="1:7" x14ac:dyDescent="0.3">
      <c r="A1102" t="s">
        <v>840</v>
      </c>
      <c r="B1102" s="1">
        <v>30</v>
      </c>
      <c r="D1102" s="9" t="s">
        <v>308</v>
      </c>
      <c r="E1102" s="8" t="s">
        <v>840</v>
      </c>
      <c r="F1102" s="8">
        <v>30</v>
      </c>
      <c r="G1102" s="32">
        <v>21</v>
      </c>
    </row>
    <row r="1103" spans="1:7" x14ac:dyDescent="0.3">
      <c r="A1103" t="s">
        <v>895</v>
      </c>
      <c r="B1103" s="1">
        <v>30</v>
      </c>
      <c r="D1103" s="65" t="s">
        <v>489</v>
      </c>
      <c r="E1103" s="8" t="s">
        <v>823</v>
      </c>
      <c r="F1103" s="9">
        <v>30</v>
      </c>
      <c r="G1103" s="18">
        <v>24</v>
      </c>
    </row>
    <row r="1104" spans="1:7" x14ac:dyDescent="0.3">
      <c r="A1104" t="s">
        <v>374</v>
      </c>
      <c r="B1104" s="1">
        <v>30</v>
      </c>
      <c r="D1104" s="9" t="s">
        <v>375</v>
      </c>
      <c r="E1104" s="8" t="s">
        <v>376</v>
      </c>
      <c r="F1104" s="8">
        <v>30</v>
      </c>
      <c r="G1104" s="32">
        <v>14</v>
      </c>
    </row>
    <row r="1105" spans="1:7" x14ac:dyDescent="0.3">
      <c r="A1105" t="s">
        <v>123</v>
      </c>
      <c r="B1105" s="1">
        <v>30</v>
      </c>
      <c r="D1105" s="9" t="s">
        <v>124</v>
      </c>
      <c r="E1105" s="8" t="s">
        <v>125</v>
      </c>
      <c r="F1105" s="8">
        <v>30</v>
      </c>
      <c r="G1105" s="32">
        <v>39</v>
      </c>
    </row>
    <row r="1106" spans="1:7" x14ac:dyDescent="0.3">
      <c r="A1106" t="s">
        <v>126</v>
      </c>
      <c r="B1106" s="1">
        <v>20</v>
      </c>
      <c r="D1106" s="9" t="s">
        <v>127</v>
      </c>
      <c r="E1106" s="8" t="s">
        <v>128</v>
      </c>
      <c r="F1106" s="8">
        <v>20</v>
      </c>
      <c r="G1106" s="32">
        <v>28</v>
      </c>
    </row>
    <row r="1107" spans="1:7" x14ac:dyDescent="0.3">
      <c r="A1107" t="s">
        <v>129</v>
      </c>
      <c r="B1107" s="1">
        <v>20</v>
      </c>
      <c r="D1107" s="9" t="s">
        <v>130</v>
      </c>
      <c r="E1107" s="8" t="s">
        <v>131</v>
      </c>
      <c r="F1107" s="8">
        <v>20</v>
      </c>
      <c r="G1107" s="32">
        <v>23</v>
      </c>
    </row>
    <row r="1108" spans="1:7" x14ac:dyDescent="0.3">
      <c r="A1108" t="s">
        <v>890</v>
      </c>
      <c r="B1108" s="1">
        <v>40</v>
      </c>
      <c r="D1108" s="9" t="s">
        <v>495</v>
      </c>
      <c r="E1108" s="8" t="s">
        <v>892</v>
      </c>
      <c r="F1108" s="8">
        <v>40</v>
      </c>
      <c r="G1108" s="32">
        <v>341</v>
      </c>
    </row>
    <row r="1109" spans="1:7" x14ac:dyDescent="0.3">
      <c r="A1109" t="s">
        <v>88</v>
      </c>
      <c r="B1109" s="1">
        <v>2</v>
      </c>
      <c r="D1109" s="9" t="s">
        <v>89</v>
      </c>
      <c r="E1109" s="42" t="s">
        <v>90</v>
      </c>
      <c r="F1109" s="9">
        <v>2</v>
      </c>
      <c r="G1109" s="32">
        <v>45</v>
      </c>
    </row>
    <row r="1110" spans="1:7" x14ac:dyDescent="0.3">
      <c r="A1110" t="s">
        <v>44</v>
      </c>
      <c r="B1110" s="1">
        <v>10</v>
      </c>
      <c r="D1110" s="9" t="s">
        <v>45</v>
      </c>
      <c r="E1110" s="42" t="s">
        <v>46</v>
      </c>
      <c r="F1110" s="9">
        <v>10</v>
      </c>
      <c r="G1110" s="32">
        <v>899</v>
      </c>
    </row>
    <row r="1111" spans="1:7" x14ac:dyDescent="0.3">
      <c r="A1111" t="s">
        <v>139</v>
      </c>
      <c r="B1111" s="1">
        <v>5</v>
      </c>
      <c r="D1111" s="9" t="s">
        <v>140</v>
      </c>
      <c r="E1111" s="42" t="s">
        <v>141</v>
      </c>
      <c r="F1111" s="9">
        <v>5</v>
      </c>
      <c r="G1111" s="32">
        <v>387</v>
      </c>
    </row>
    <row r="1112" spans="1:7" x14ac:dyDescent="0.3">
      <c r="A1112" t="s">
        <v>105</v>
      </c>
      <c r="B1112" s="1">
        <v>2</v>
      </c>
      <c r="D1112" s="9" t="s">
        <v>106</v>
      </c>
      <c r="E1112" s="42" t="s">
        <v>107</v>
      </c>
      <c r="F1112" s="9">
        <v>2</v>
      </c>
      <c r="G1112" s="32">
        <v>30</v>
      </c>
    </row>
    <row r="1113" spans="1:7" x14ac:dyDescent="0.3">
      <c r="A1113" t="s">
        <v>71</v>
      </c>
      <c r="B1113" s="1">
        <v>0.1</v>
      </c>
      <c r="D1113" s="9" t="s">
        <v>72</v>
      </c>
      <c r="E1113" s="42" t="s">
        <v>73</v>
      </c>
      <c r="F1113" s="9">
        <v>0.1</v>
      </c>
      <c r="G1113" s="32">
        <v>270</v>
      </c>
    </row>
    <row r="1114" spans="1:7" x14ac:dyDescent="0.3">
      <c r="A1114" s="3" t="s">
        <v>10</v>
      </c>
      <c r="B1114" s="1">
        <v>344.1</v>
      </c>
      <c r="E1114" s="10" t="s">
        <v>11</v>
      </c>
      <c r="F1114" s="11">
        <f>SUM(F1101:F1113)</f>
        <v>344.1</v>
      </c>
      <c r="G1114" s="13">
        <f>($F1101*G1101+$F1102*G1102+$F1106*G1106+$F1105*G1105+$F1104*G1104+$F1103*G1103+G1107*$F1107+G1108*$F1108+G1109*$F1109+G1110*$F1110+G1111*$F1111+G1112*$F1112+G1113*$F1113)/$F1114</f>
        <v>85.228131357163605</v>
      </c>
    </row>
    <row r="1115" spans="1:7" x14ac:dyDescent="0.3">
      <c r="A1115" s="3" t="s">
        <v>12</v>
      </c>
      <c r="B1115" s="1" t="s">
        <v>13</v>
      </c>
      <c r="E1115" s="14"/>
      <c r="F1115" s="15"/>
      <c r="G1115" s="16"/>
    </row>
    <row r="1116" spans="1:7" x14ac:dyDescent="0.3">
      <c r="E1116" s="17"/>
      <c r="F1116" s="1"/>
      <c r="G1116" s="18"/>
    </row>
    <row r="1117" spans="1:7" x14ac:dyDescent="0.3">
      <c r="E1117" s="17"/>
      <c r="F1117" s="1"/>
      <c r="G1117" s="20"/>
    </row>
    <row r="1118" spans="1:7" x14ac:dyDescent="0.3">
      <c r="A1118" s="3" t="s">
        <v>496</v>
      </c>
    </row>
    <row r="1119" spans="1:7" x14ac:dyDescent="0.3">
      <c r="A1119" t="s">
        <v>262</v>
      </c>
      <c r="B1119" s="1">
        <v>125</v>
      </c>
      <c r="D1119" s="9" t="s">
        <v>263</v>
      </c>
      <c r="E1119" s="8" t="s">
        <v>264</v>
      </c>
      <c r="F1119" s="8">
        <v>125</v>
      </c>
      <c r="G1119" s="32">
        <v>5</v>
      </c>
    </row>
    <row r="1120" spans="1:7" x14ac:dyDescent="0.3">
      <c r="A1120" t="s">
        <v>840</v>
      </c>
      <c r="B1120" s="1">
        <v>30</v>
      </c>
      <c r="D1120" s="9" t="s">
        <v>308</v>
      </c>
      <c r="E1120" s="8" t="s">
        <v>840</v>
      </c>
      <c r="F1120" s="8">
        <v>30</v>
      </c>
      <c r="G1120" s="32">
        <v>21</v>
      </c>
    </row>
    <row r="1121" spans="1:7" x14ac:dyDescent="0.3">
      <c r="A1121" t="s">
        <v>895</v>
      </c>
      <c r="B1121" s="1">
        <v>30</v>
      </c>
      <c r="D1121" s="65" t="s">
        <v>489</v>
      </c>
      <c r="E1121" s="8" t="s">
        <v>823</v>
      </c>
      <c r="F1121" s="9">
        <v>30</v>
      </c>
      <c r="G1121" s="18">
        <v>24</v>
      </c>
    </row>
    <row r="1122" spans="1:7" x14ac:dyDescent="0.3">
      <c r="A1122" t="s">
        <v>374</v>
      </c>
      <c r="B1122" s="1">
        <v>30</v>
      </c>
      <c r="D1122" s="9" t="s">
        <v>375</v>
      </c>
      <c r="E1122" s="8" t="s">
        <v>376</v>
      </c>
      <c r="F1122" s="8">
        <v>30</v>
      </c>
      <c r="G1122" s="32">
        <v>14</v>
      </c>
    </row>
    <row r="1123" spans="1:7" x14ac:dyDescent="0.3">
      <c r="A1123" t="s">
        <v>123</v>
      </c>
      <c r="B1123" s="1">
        <v>30</v>
      </c>
      <c r="D1123" s="9" t="s">
        <v>124</v>
      </c>
      <c r="E1123" s="8" t="s">
        <v>125</v>
      </c>
      <c r="F1123" s="8">
        <v>30</v>
      </c>
      <c r="G1123" s="32">
        <v>39</v>
      </c>
    </row>
    <row r="1124" spans="1:7" x14ac:dyDescent="0.3">
      <c r="A1124" t="s">
        <v>126</v>
      </c>
      <c r="B1124" s="1">
        <v>20</v>
      </c>
      <c r="D1124" s="9" t="s">
        <v>127</v>
      </c>
      <c r="E1124" s="8" t="s">
        <v>128</v>
      </c>
      <c r="F1124" s="8">
        <v>20</v>
      </c>
      <c r="G1124" s="32">
        <v>28</v>
      </c>
    </row>
    <row r="1125" spans="1:7" x14ac:dyDescent="0.3">
      <c r="A1125" t="s">
        <v>129</v>
      </c>
      <c r="B1125" s="1">
        <v>20</v>
      </c>
      <c r="D1125" s="9" t="s">
        <v>130</v>
      </c>
      <c r="E1125" s="8" t="s">
        <v>131</v>
      </c>
      <c r="F1125" s="8">
        <v>20</v>
      </c>
      <c r="G1125" s="32">
        <v>23</v>
      </c>
    </row>
    <row r="1126" spans="1:7" x14ac:dyDescent="0.3">
      <c r="A1126" t="s">
        <v>857</v>
      </c>
      <c r="B1126" s="1">
        <v>40</v>
      </c>
      <c r="D1126" s="9" t="s">
        <v>382</v>
      </c>
      <c r="E1126" s="8" t="s">
        <v>857</v>
      </c>
      <c r="F1126" s="8">
        <v>40</v>
      </c>
      <c r="G1126" s="32">
        <v>365</v>
      </c>
    </row>
    <row r="1127" spans="1:7" x14ac:dyDescent="0.3">
      <c r="A1127" t="s">
        <v>88</v>
      </c>
      <c r="B1127" s="1">
        <v>2</v>
      </c>
      <c r="D1127" s="9" t="s">
        <v>89</v>
      </c>
      <c r="E1127" s="42" t="s">
        <v>90</v>
      </c>
      <c r="F1127" s="9">
        <v>2</v>
      </c>
      <c r="G1127" s="32">
        <v>45</v>
      </c>
    </row>
    <row r="1128" spans="1:7" x14ac:dyDescent="0.3">
      <c r="A1128" t="s">
        <v>44</v>
      </c>
      <c r="B1128" s="1">
        <v>10</v>
      </c>
      <c r="D1128" s="9" t="s">
        <v>45</v>
      </c>
      <c r="E1128" s="42" t="s">
        <v>46</v>
      </c>
      <c r="F1128" s="9">
        <v>10</v>
      </c>
      <c r="G1128" s="32">
        <v>899</v>
      </c>
    </row>
    <row r="1129" spans="1:7" x14ac:dyDescent="0.3">
      <c r="A1129" t="s">
        <v>139</v>
      </c>
      <c r="B1129" s="1">
        <v>5</v>
      </c>
      <c r="D1129" s="9" t="s">
        <v>140</v>
      </c>
      <c r="E1129" s="42" t="s">
        <v>141</v>
      </c>
      <c r="F1129" s="9">
        <v>5</v>
      </c>
      <c r="G1129" s="32">
        <v>387</v>
      </c>
    </row>
    <row r="1130" spans="1:7" x14ac:dyDescent="0.3">
      <c r="A1130" t="s">
        <v>105</v>
      </c>
      <c r="B1130" s="1">
        <v>2</v>
      </c>
      <c r="D1130" s="9" t="s">
        <v>106</v>
      </c>
      <c r="E1130" s="42" t="s">
        <v>107</v>
      </c>
      <c r="F1130" s="9">
        <v>2</v>
      </c>
      <c r="G1130" s="32">
        <v>30</v>
      </c>
    </row>
    <row r="1131" spans="1:7" x14ac:dyDescent="0.3">
      <c r="A1131" t="s">
        <v>71</v>
      </c>
      <c r="B1131" s="1">
        <v>0.1</v>
      </c>
      <c r="D1131" s="9" t="s">
        <v>72</v>
      </c>
      <c r="E1131" s="42" t="s">
        <v>73</v>
      </c>
      <c r="F1131" s="9">
        <v>0.1</v>
      </c>
      <c r="G1131" s="32">
        <v>270</v>
      </c>
    </row>
    <row r="1132" spans="1:7" x14ac:dyDescent="0.3">
      <c r="A1132" s="3" t="s">
        <v>10</v>
      </c>
      <c r="B1132" s="1">
        <v>344.1</v>
      </c>
      <c r="E1132" s="10" t="s">
        <v>11</v>
      </c>
      <c r="F1132" s="11">
        <f>SUM(F1119:F1131)</f>
        <v>344.1</v>
      </c>
      <c r="G1132" s="13">
        <f>($F1119*G1119+$F1120*G1120+$F1124*G1124+$F1123*G1123+$F1122*G1122+$F1121*G1121+G1125*$F1125+G1126*$F1126+G1127*$F1127+G1128*$F1128+G1129*$F1129+G1130*$F1130+G1131*$F1131)/$F1132</f>
        <v>88.018018018018012</v>
      </c>
    </row>
    <row r="1133" spans="1:7" x14ac:dyDescent="0.3">
      <c r="A1133" s="3" t="s">
        <v>12</v>
      </c>
      <c r="B1133" s="1" t="s">
        <v>13</v>
      </c>
      <c r="E1133" s="14"/>
      <c r="F1133" s="15"/>
      <c r="G1133" s="16"/>
    </row>
    <row r="1134" spans="1:7" x14ac:dyDescent="0.3">
      <c r="E1134" s="17"/>
      <c r="F1134" s="1"/>
      <c r="G1134" s="18"/>
    </row>
    <row r="1135" spans="1:7" x14ac:dyDescent="0.3">
      <c r="E1135" s="17"/>
      <c r="F1135" s="1"/>
      <c r="G1135" s="20"/>
    </row>
    <row r="1136" spans="1:7" x14ac:dyDescent="0.3">
      <c r="A1136" s="3" t="s">
        <v>497</v>
      </c>
    </row>
    <row r="1137" spans="1:7" x14ac:dyDescent="0.3">
      <c r="A1137" t="s">
        <v>290</v>
      </c>
      <c r="B1137" s="1">
        <v>100</v>
      </c>
      <c r="D1137" s="65" t="s">
        <v>291</v>
      </c>
      <c r="E1137" s="65" t="s">
        <v>827</v>
      </c>
      <c r="F1137" s="8">
        <v>50</v>
      </c>
      <c r="G1137" s="1">
        <v>67</v>
      </c>
    </row>
    <row r="1138" spans="1:7" x14ac:dyDescent="0.3">
      <c r="A1138" s="3" t="s">
        <v>10</v>
      </c>
      <c r="B1138" s="1">
        <v>100</v>
      </c>
      <c r="E1138" s="10" t="s">
        <v>11</v>
      </c>
      <c r="F1138" s="11">
        <f>SUM(F1137)</f>
        <v>50</v>
      </c>
      <c r="G1138" s="13">
        <f>(G1137*$F1137)/$F1138</f>
        <v>67</v>
      </c>
    </row>
    <row r="1139" spans="1:7" x14ac:dyDescent="0.3">
      <c r="A1139" s="3" t="s">
        <v>12</v>
      </c>
      <c r="B1139" s="1" t="s">
        <v>13</v>
      </c>
      <c r="E1139" s="14"/>
      <c r="F1139" s="15"/>
      <c r="G1139" s="16"/>
    </row>
    <row r="1140" spans="1:7" x14ac:dyDescent="0.3">
      <c r="E1140" s="17"/>
      <c r="F1140" s="1"/>
      <c r="G1140" s="18"/>
    </row>
    <row r="1141" spans="1:7" x14ac:dyDescent="0.3">
      <c r="E1141" s="17"/>
      <c r="F1141" s="1"/>
      <c r="G1141" s="20"/>
    </row>
    <row r="1142" spans="1:7" x14ac:dyDescent="0.3">
      <c r="A1142" s="3" t="s">
        <v>498</v>
      </c>
    </row>
    <row r="1143" spans="1:7" x14ac:dyDescent="0.3">
      <c r="A1143" t="s">
        <v>254</v>
      </c>
      <c r="B1143" s="1">
        <v>100</v>
      </c>
      <c r="D1143" s="9" t="s">
        <v>255</v>
      </c>
      <c r="E1143" s="8" t="s">
        <v>256</v>
      </c>
      <c r="F1143" s="8">
        <v>100</v>
      </c>
      <c r="G1143" s="32">
        <v>92</v>
      </c>
    </row>
    <row r="1144" spans="1:7" x14ac:dyDescent="0.3">
      <c r="A1144" t="s">
        <v>44</v>
      </c>
      <c r="B1144" s="1">
        <v>10</v>
      </c>
      <c r="D1144" s="9" t="s">
        <v>45</v>
      </c>
      <c r="E1144" s="42" t="s">
        <v>46</v>
      </c>
      <c r="F1144" s="9">
        <v>10</v>
      </c>
      <c r="G1144" s="32">
        <v>899</v>
      </c>
    </row>
    <row r="1145" spans="1:7" x14ac:dyDescent="0.3">
      <c r="A1145" t="s">
        <v>24</v>
      </c>
      <c r="B1145" s="1">
        <v>0.3</v>
      </c>
      <c r="D1145" s="9" t="s">
        <v>25</v>
      </c>
      <c r="E1145" s="42" t="s">
        <v>26</v>
      </c>
      <c r="F1145" s="9">
        <v>0.3</v>
      </c>
      <c r="G1145" s="32">
        <v>0</v>
      </c>
    </row>
    <row r="1146" spans="1:7" x14ac:dyDescent="0.3">
      <c r="A1146" t="s">
        <v>71</v>
      </c>
      <c r="B1146" s="1">
        <v>0.1</v>
      </c>
      <c r="D1146" s="9" t="s">
        <v>72</v>
      </c>
      <c r="E1146" s="42" t="s">
        <v>73</v>
      </c>
      <c r="F1146" s="9">
        <v>0.1</v>
      </c>
      <c r="G1146" s="32">
        <v>270</v>
      </c>
    </row>
    <row r="1147" spans="1:7" x14ac:dyDescent="0.3">
      <c r="A1147" s="3" t="s">
        <v>10</v>
      </c>
      <c r="B1147" s="1">
        <v>110.4</v>
      </c>
      <c r="E1147" s="10" t="s">
        <v>11</v>
      </c>
      <c r="F1147" s="11">
        <f>SUM(F1143:F1146)</f>
        <v>110.39999999999999</v>
      </c>
      <c r="G1147" s="13">
        <f>(G1143*$F1143+G1144*$F1144+G1145*$F1145+G1146*$F1146)/$F1147</f>
        <v>165.0090579710145</v>
      </c>
    </row>
    <row r="1148" spans="1:7" x14ac:dyDescent="0.3">
      <c r="A1148" s="3" t="s">
        <v>12</v>
      </c>
      <c r="B1148" s="1" t="s">
        <v>13</v>
      </c>
      <c r="E1148" s="14"/>
      <c r="F1148" s="15"/>
      <c r="G1148" s="16"/>
    </row>
    <row r="1149" spans="1:7" x14ac:dyDescent="0.3">
      <c r="E1149" s="17"/>
      <c r="F1149" s="1"/>
      <c r="G1149" s="18"/>
    </row>
    <row r="1150" spans="1:7" x14ac:dyDescent="0.3">
      <c r="E1150" s="17"/>
      <c r="F1150" s="1"/>
      <c r="G1150" s="20"/>
    </row>
    <row r="1151" spans="1:7" x14ac:dyDescent="0.3">
      <c r="A1151" s="3" t="s">
        <v>499</v>
      </c>
    </row>
    <row r="1152" spans="1:7" x14ac:dyDescent="0.3">
      <c r="A1152" t="s">
        <v>891</v>
      </c>
      <c r="B1152" s="1">
        <v>150</v>
      </c>
      <c r="D1152" s="9" t="s">
        <v>500</v>
      </c>
      <c r="E1152" s="8" t="s">
        <v>891</v>
      </c>
      <c r="F1152" s="8">
        <v>150</v>
      </c>
      <c r="G1152" s="32">
        <v>159</v>
      </c>
    </row>
    <row r="1153" spans="1:7" x14ac:dyDescent="0.3">
      <c r="A1153" t="s">
        <v>44</v>
      </c>
      <c r="B1153" s="1">
        <v>10</v>
      </c>
      <c r="D1153" s="9" t="s">
        <v>45</v>
      </c>
      <c r="E1153" s="42" t="s">
        <v>46</v>
      </c>
      <c r="F1153" s="9">
        <v>10</v>
      </c>
      <c r="G1153" s="32">
        <v>899</v>
      </c>
    </row>
    <row r="1154" spans="1:7" x14ac:dyDescent="0.3">
      <c r="A1154" t="s">
        <v>24</v>
      </c>
      <c r="B1154" s="1">
        <v>0.3</v>
      </c>
      <c r="D1154" s="9" t="s">
        <v>25</v>
      </c>
      <c r="E1154" s="42" t="s">
        <v>26</v>
      </c>
      <c r="F1154" s="9">
        <v>0.3</v>
      </c>
      <c r="G1154" s="32">
        <v>0</v>
      </c>
    </row>
    <row r="1155" spans="1:7" x14ac:dyDescent="0.3">
      <c r="A1155" s="3" t="s">
        <v>10</v>
      </c>
      <c r="B1155" s="1">
        <v>160.30000000000001</v>
      </c>
      <c r="E1155" s="10" t="s">
        <v>11</v>
      </c>
      <c r="F1155" s="11">
        <f>SUM(F1152:F1154)</f>
        <v>160.30000000000001</v>
      </c>
      <c r="G1155" s="13">
        <f>(G1152*$F1152+G1153*$F1153+G1154*$F1154)/$F1155</f>
        <v>204.86587648159698</v>
      </c>
    </row>
    <row r="1156" spans="1:7" x14ac:dyDescent="0.3">
      <c r="A1156" s="3" t="s">
        <v>12</v>
      </c>
      <c r="B1156" s="1" t="s">
        <v>13</v>
      </c>
      <c r="E1156" s="14"/>
      <c r="F1156" s="15"/>
      <c r="G1156" s="16"/>
    </row>
    <row r="1157" spans="1:7" x14ac:dyDescent="0.3">
      <c r="E1157" s="17"/>
      <c r="F1157" s="1"/>
      <c r="G1157" s="18"/>
    </row>
    <row r="1158" spans="1:7" x14ac:dyDescent="0.3">
      <c r="E1158" s="17"/>
      <c r="F1158" s="1"/>
      <c r="G1158" s="20"/>
    </row>
    <row r="1159" spans="1:7" x14ac:dyDescent="0.3">
      <c r="A1159" s="3" t="s">
        <v>501</v>
      </c>
    </row>
    <row r="1160" spans="1:7" x14ac:dyDescent="0.3">
      <c r="A1160" t="s">
        <v>890</v>
      </c>
      <c r="B1160" s="1">
        <v>80</v>
      </c>
      <c r="D1160" s="9" t="s">
        <v>495</v>
      </c>
      <c r="E1160" s="8" t="s">
        <v>890</v>
      </c>
      <c r="F1160" s="8">
        <v>80</v>
      </c>
      <c r="G1160" s="32">
        <v>341</v>
      </c>
    </row>
    <row r="1161" spans="1:7" x14ac:dyDescent="0.3">
      <c r="A1161" t="s">
        <v>151</v>
      </c>
      <c r="B1161" s="1">
        <v>150</v>
      </c>
      <c r="D1161" s="9" t="s">
        <v>152</v>
      </c>
      <c r="E1161" s="8" t="s">
        <v>153</v>
      </c>
      <c r="F1161" s="8">
        <v>150</v>
      </c>
      <c r="G1161" s="32">
        <v>33</v>
      </c>
    </row>
    <row r="1162" spans="1:7" x14ac:dyDescent="0.3">
      <c r="A1162" t="s">
        <v>44</v>
      </c>
      <c r="B1162" s="1">
        <v>10</v>
      </c>
      <c r="D1162" s="9" t="s">
        <v>45</v>
      </c>
      <c r="E1162" s="42" t="s">
        <v>46</v>
      </c>
      <c r="F1162" s="9">
        <v>10</v>
      </c>
      <c r="G1162" s="32">
        <v>899</v>
      </c>
    </row>
    <row r="1163" spans="1:7" x14ac:dyDescent="0.3">
      <c r="A1163" t="s">
        <v>88</v>
      </c>
      <c r="B1163" s="1">
        <v>2</v>
      </c>
      <c r="D1163" s="9" t="s">
        <v>89</v>
      </c>
      <c r="E1163" s="8" t="s">
        <v>90</v>
      </c>
      <c r="F1163" s="8">
        <v>2</v>
      </c>
      <c r="G1163" s="32">
        <v>45</v>
      </c>
    </row>
    <row r="1164" spans="1:7" x14ac:dyDescent="0.3">
      <c r="A1164" t="s">
        <v>502</v>
      </c>
      <c r="B1164" s="1">
        <v>5</v>
      </c>
      <c r="D1164" s="9" t="s">
        <v>503</v>
      </c>
      <c r="E1164" s="8" t="s">
        <v>504</v>
      </c>
      <c r="F1164" s="8">
        <v>5</v>
      </c>
      <c r="G1164" s="32">
        <v>206</v>
      </c>
    </row>
    <row r="1165" spans="1:7" x14ac:dyDescent="0.3">
      <c r="A1165" t="s">
        <v>71</v>
      </c>
      <c r="B1165" s="1">
        <v>0.1</v>
      </c>
      <c r="D1165" s="9" t="s">
        <v>72</v>
      </c>
      <c r="E1165" s="8" t="s">
        <v>73</v>
      </c>
      <c r="F1165" s="8">
        <v>0.1</v>
      </c>
      <c r="G1165" s="32">
        <v>270</v>
      </c>
    </row>
    <row r="1166" spans="1:7" x14ac:dyDescent="0.3">
      <c r="A1166" t="s">
        <v>24</v>
      </c>
      <c r="B1166" s="1">
        <v>0.3</v>
      </c>
      <c r="D1166" s="9" t="s">
        <v>25</v>
      </c>
      <c r="E1166" s="42" t="s">
        <v>26</v>
      </c>
      <c r="F1166" s="9">
        <v>0.3</v>
      </c>
      <c r="G1166" s="32">
        <v>0</v>
      </c>
    </row>
    <row r="1167" spans="1:7" x14ac:dyDescent="0.3">
      <c r="A1167" s="3" t="s">
        <v>10</v>
      </c>
      <c r="B1167" s="1">
        <v>247.4</v>
      </c>
      <c r="E1167" s="10" t="s">
        <v>11</v>
      </c>
      <c r="F1167" s="11">
        <f>SUM(F1160:F1166)</f>
        <v>247.4</v>
      </c>
      <c r="G1167" s="13">
        <f>($F1160*G1160+G1161*$F1161+G1162*$F1162+G1163*$F1163+G1164*$F1164+G1165*$F1165+G1166*$F1166)/$F1167</f>
        <v>171.24898949070331</v>
      </c>
    </row>
    <row r="1168" spans="1:7" x14ac:dyDescent="0.3">
      <c r="A1168" s="3" t="s">
        <v>12</v>
      </c>
      <c r="B1168" s="1" t="s">
        <v>13</v>
      </c>
      <c r="E1168" s="14"/>
      <c r="F1168" s="15"/>
      <c r="G1168" s="16"/>
    </row>
    <row r="1169" spans="1:7" x14ac:dyDescent="0.3">
      <c r="E1169" s="17"/>
      <c r="F1169" s="1"/>
      <c r="G1169" s="18"/>
    </row>
    <row r="1170" spans="1:7" x14ac:dyDescent="0.3">
      <c r="E1170" s="17"/>
      <c r="F1170" s="1"/>
      <c r="G1170" s="20"/>
    </row>
    <row r="1171" spans="1:7" x14ac:dyDescent="0.3">
      <c r="A1171" s="3" t="s">
        <v>505</v>
      </c>
    </row>
    <row r="1172" spans="1:7" x14ac:dyDescent="0.3">
      <c r="A1172" t="s">
        <v>840</v>
      </c>
      <c r="B1172" s="1">
        <v>40</v>
      </c>
      <c r="D1172" s="9" t="s">
        <v>308</v>
      </c>
      <c r="E1172" s="8" t="s">
        <v>840</v>
      </c>
      <c r="F1172" s="8">
        <v>40</v>
      </c>
      <c r="G1172" s="32">
        <v>21</v>
      </c>
    </row>
    <row r="1173" spans="1:7" x14ac:dyDescent="0.3">
      <c r="A1173" t="s">
        <v>123</v>
      </c>
      <c r="B1173" s="1">
        <v>35</v>
      </c>
      <c r="D1173" s="9" t="s">
        <v>124</v>
      </c>
      <c r="E1173" s="8" t="s">
        <v>125</v>
      </c>
      <c r="F1173" s="8">
        <v>35</v>
      </c>
      <c r="G1173" s="32">
        <v>39</v>
      </c>
    </row>
    <row r="1174" spans="1:7" x14ac:dyDescent="0.3">
      <c r="A1174" t="s">
        <v>383</v>
      </c>
      <c r="B1174" s="1">
        <v>35</v>
      </c>
      <c r="D1174" s="9" t="s">
        <v>384</v>
      </c>
      <c r="E1174" s="8" t="s">
        <v>385</v>
      </c>
      <c r="F1174" s="8">
        <v>35</v>
      </c>
      <c r="G1174" s="32">
        <v>15</v>
      </c>
    </row>
    <row r="1175" spans="1:7" x14ac:dyDescent="0.3">
      <c r="A1175" t="s">
        <v>314</v>
      </c>
      <c r="B1175" s="1">
        <v>30</v>
      </c>
      <c r="D1175" s="9" t="s">
        <v>315</v>
      </c>
      <c r="E1175" s="8" t="s">
        <v>316</v>
      </c>
      <c r="F1175" s="8">
        <v>30</v>
      </c>
      <c r="G1175" s="32">
        <v>13</v>
      </c>
    </row>
    <row r="1176" spans="1:7" x14ac:dyDescent="0.3">
      <c r="A1176" t="s">
        <v>845</v>
      </c>
      <c r="B1176" s="1">
        <v>30</v>
      </c>
      <c r="D1176" s="9" t="s">
        <v>377</v>
      </c>
      <c r="E1176" s="8" t="s">
        <v>845</v>
      </c>
      <c r="F1176" s="8">
        <v>30</v>
      </c>
      <c r="G1176" s="32">
        <v>26</v>
      </c>
    </row>
    <row r="1177" spans="1:7" x14ac:dyDescent="0.3">
      <c r="A1177" t="s">
        <v>506</v>
      </c>
      <c r="B1177" s="1">
        <v>30</v>
      </c>
      <c r="D1177" s="9" t="s">
        <v>507</v>
      </c>
      <c r="E1177" s="8" t="s">
        <v>508</v>
      </c>
      <c r="F1177" s="8">
        <v>30</v>
      </c>
      <c r="G1177" s="32">
        <v>13</v>
      </c>
    </row>
    <row r="1178" spans="1:7" x14ac:dyDescent="0.3">
      <c r="A1178" t="s">
        <v>21</v>
      </c>
      <c r="B1178" s="1">
        <v>5</v>
      </c>
      <c r="D1178" s="9" t="s">
        <v>22</v>
      </c>
      <c r="E1178" s="8" t="s">
        <v>23</v>
      </c>
      <c r="F1178" s="8">
        <v>5</v>
      </c>
      <c r="G1178" s="32">
        <v>4</v>
      </c>
    </row>
    <row r="1179" spans="1:7" x14ac:dyDescent="0.3">
      <c r="A1179" t="s">
        <v>44</v>
      </c>
      <c r="B1179" s="1">
        <v>10</v>
      </c>
      <c r="D1179" s="9" t="s">
        <v>45</v>
      </c>
      <c r="E1179" s="42" t="s">
        <v>46</v>
      </c>
      <c r="F1179" s="9">
        <v>10</v>
      </c>
      <c r="G1179" s="32">
        <v>899</v>
      </c>
    </row>
    <row r="1180" spans="1:7" x14ac:dyDescent="0.3">
      <c r="A1180" t="s">
        <v>24</v>
      </c>
      <c r="B1180" s="1">
        <v>0.3</v>
      </c>
      <c r="D1180" s="9" t="s">
        <v>25</v>
      </c>
      <c r="E1180" s="42" t="s">
        <v>26</v>
      </c>
      <c r="F1180" s="9">
        <v>0.3</v>
      </c>
      <c r="G1180" s="32">
        <v>0</v>
      </c>
    </row>
    <row r="1181" spans="1:7" x14ac:dyDescent="0.3">
      <c r="A1181" s="3" t="s">
        <v>10</v>
      </c>
      <c r="B1181" s="1">
        <v>215.3</v>
      </c>
      <c r="E1181" s="10" t="s">
        <v>11</v>
      </c>
      <c r="F1181" s="11">
        <f>SUM(F1172:F1180)</f>
        <v>215.3</v>
      </c>
      <c r="G1181" s="13">
        <f>($F1172*G1172+$F1173*G1173+$F1174*G1174+G1175*$F1175+G1176*$F1176+G1177*$F1177+G1178*$F1178+G1179*$F1179+G1180*$F1180)/$F1181</f>
        <v>61.774268462610308</v>
      </c>
    </row>
    <row r="1182" spans="1:7" x14ac:dyDescent="0.3">
      <c r="A1182" s="3" t="s">
        <v>12</v>
      </c>
      <c r="B1182" s="1" t="s">
        <v>13</v>
      </c>
      <c r="E1182" s="14"/>
      <c r="F1182" s="15"/>
      <c r="G1182" s="16"/>
    </row>
    <row r="1183" spans="1:7" x14ac:dyDescent="0.3">
      <c r="E1183" s="17"/>
      <c r="F1183" s="1"/>
      <c r="G1183" s="18"/>
    </row>
    <row r="1184" spans="1:7" x14ac:dyDescent="0.3">
      <c r="E1184" s="17"/>
      <c r="F1184" s="1"/>
      <c r="G1184" s="20"/>
    </row>
    <row r="1185" spans="1:7" x14ac:dyDescent="0.3">
      <c r="A1185" s="3" t="s">
        <v>509</v>
      </c>
    </row>
    <row r="1186" spans="1:7" x14ac:dyDescent="0.3">
      <c r="A1186" t="s">
        <v>885</v>
      </c>
      <c r="B1186" s="1">
        <v>80</v>
      </c>
      <c r="D1186" s="9" t="s">
        <v>380</v>
      </c>
      <c r="E1186" s="8" t="s">
        <v>885</v>
      </c>
      <c r="F1186" s="8">
        <v>80</v>
      </c>
      <c r="G1186" s="32">
        <v>346</v>
      </c>
    </row>
    <row r="1187" spans="1:7" x14ac:dyDescent="0.3">
      <c r="A1187" t="s">
        <v>44</v>
      </c>
      <c r="B1187" s="1">
        <v>10</v>
      </c>
      <c r="D1187" s="9" t="s">
        <v>45</v>
      </c>
      <c r="E1187" s="42" t="s">
        <v>46</v>
      </c>
      <c r="F1187" s="9">
        <v>10</v>
      </c>
      <c r="G1187" s="32">
        <v>899</v>
      </c>
    </row>
    <row r="1188" spans="1:7" x14ac:dyDescent="0.3">
      <c r="A1188" t="s">
        <v>24</v>
      </c>
      <c r="B1188" s="1">
        <v>0.3</v>
      </c>
      <c r="D1188" s="9" t="s">
        <v>25</v>
      </c>
      <c r="E1188" s="42" t="s">
        <v>26</v>
      </c>
      <c r="F1188" s="9">
        <v>0.3</v>
      </c>
      <c r="G1188" s="32">
        <v>0</v>
      </c>
    </row>
    <row r="1189" spans="1:7" x14ac:dyDescent="0.3">
      <c r="A1189" s="3" t="s">
        <v>10</v>
      </c>
      <c r="B1189" s="1">
        <v>90.3</v>
      </c>
      <c r="E1189" s="10" t="s">
        <v>11</v>
      </c>
      <c r="F1189" s="11">
        <f>SUM(F1186:F1188)</f>
        <v>90.3</v>
      </c>
      <c r="G1189" s="13">
        <f>(G1186*$F1186+G1187*$F1187+G1188*$F1188)/$F1189</f>
        <v>406.09080841638985</v>
      </c>
    </row>
    <row r="1190" spans="1:7" x14ac:dyDescent="0.3">
      <c r="A1190" s="3" t="s">
        <v>12</v>
      </c>
      <c r="B1190" s="1" t="s">
        <v>13</v>
      </c>
      <c r="E1190" s="14"/>
      <c r="F1190" s="15"/>
      <c r="G1190" s="16"/>
    </row>
    <row r="1191" spans="1:7" x14ac:dyDescent="0.3">
      <c r="E1191" s="17"/>
      <c r="F1191" s="1"/>
      <c r="G1191" s="18"/>
    </row>
    <row r="1192" spans="1:7" x14ac:dyDescent="0.3">
      <c r="E1192" s="17"/>
      <c r="F1192" s="1"/>
      <c r="G1192" s="20"/>
    </row>
    <row r="1193" spans="1:7" x14ac:dyDescent="0.3">
      <c r="A1193" s="3" t="s">
        <v>510</v>
      </c>
    </row>
    <row r="1194" spans="1:7" x14ac:dyDescent="0.3">
      <c r="A1194" t="s">
        <v>41</v>
      </c>
      <c r="B1194" s="1">
        <v>125</v>
      </c>
      <c r="D1194" s="9" t="s">
        <v>42</v>
      </c>
      <c r="E1194" s="8" t="s">
        <v>43</v>
      </c>
      <c r="F1194" s="8">
        <v>125</v>
      </c>
      <c r="G1194" s="32">
        <v>6</v>
      </c>
    </row>
    <row r="1195" spans="1:7" x14ac:dyDescent="0.3">
      <c r="A1195" t="s">
        <v>511</v>
      </c>
      <c r="B1195" s="1">
        <v>50</v>
      </c>
      <c r="D1195" s="9" t="s">
        <v>512</v>
      </c>
      <c r="E1195" s="8" t="s">
        <v>893</v>
      </c>
      <c r="F1195" s="8">
        <v>50</v>
      </c>
      <c r="G1195" s="32">
        <v>289</v>
      </c>
    </row>
    <row r="1196" spans="1:7" x14ac:dyDescent="0.3">
      <c r="A1196" t="s">
        <v>63</v>
      </c>
      <c r="B1196" s="1">
        <v>10</v>
      </c>
      <c r="D1196" s="9" t="s">
        <v>64</v>
      </c>
      <c r="E1196" s="8" t="s">
        <v>65</v>
      </c>
      <c r="F1196" s="8">
        <v>10</v>
      </c>
      <c r="G1196" s="32">
        <v>758</v>
      </c>
    </row>
    <row r="1197" spans="1:7" x14ac:dyDescent="0.3">
      <c r="A1197" t="s">
        <v>449</v>
      </c>
      <c r="B1197" s="1">
        <v>10</v>
      </c>
      <c r="D1197" s="9" t="s">
        <v>140</v>
      </c>
      <c r="E1197" s="8" t="s">
        <v>141</v>
      </c>
      <c r="F1197" s="8">
        <v>10</v>
      </c>
      <c r="G1197" s="32">
        <v>387</v>
      </c>
    </row>
    <row r="1198" spans="1:7" x14ac:dyDescent="0.3">
      <c r="A1198" t="s">
        <v>71</v>
      </c>
      <c r="B1198" s="1">
        <v>0.1</v>
      </c>
      <c r="D1198" s="9" t="s">
        <v>72</v>
      </c>
      <c r="E1198" s="8" t="s">
        <v>73</v>
      </c>
      <c r="F1198" s="8">
        <v>0.1</v>
      </c>
      <c r="G1198" s="32">
        <v>270</v>
      </c>
    </row>
    <row r="1199" spans="1:7" x14ac:dyDescent="0.3">
      <c r="A1199" s="3" t="s">
        <v>10</v>
      </c>
      <c r="B1199" s="1">
        <v>195.1</v>
      </c>
      <c r="E1199" s="10" t="s">
        <v>11</v>
      </c>
      <c r="F1199" s="11">
        <f>SUM(F1194:F1198)</f>
        <v>195.1</v>
      </c>
      <c r="G1199" s="13">
        <f>($F1194*G1194+G1195*$F1195+G1196*$F1196+G1197*$F1197+G1198*$F1198)/$F1199</f>
        <v>136.73500768836496</v>
      </c>
    </row>
    <row r="1200" spans="1:7" x14ac:dyDescent="0.3">
      <c r="A1200" s="3" t="s">
        <v>12</v>
      </c>
      <c r="B1200" s="1" t="s">
        <v>13</v>
      </c>
      <c r="E1200" s="14"/>
      <c r="F1200" s="15"/>
      <c r="G1200" s="16"/>
    </row>
    <row r="1201" spans="1:7" x14ac:dyDescent="0.3">
      <c r="E1201" s="17"/>
      <c r="F1201" s="1"/>
      <c r="G1201" s="18"/>
    </row>
    <row r="1202" spans="1:7" x14ac:dyDescent="0.3">
      <c r="E1202" s="17"/>
      <c r="F1202" s="1"/>
      <c r="G1202" s="20"/>
    </row>
    <row r="1203" spans="1:7" x14ac:dyDescent="0.3">
      <c r="A1203" s="3" t="s">
        <v>513</v>
      </c>
    </row>
    <row r="1204" spans="1:7" x14ac:dyDescent="0.3">
      <c r="A1204" t="s">
        <v>825</v>
      </c>
      <c r="B1204" s="1">
        <v>75</v>
      </c>
      <c r="D1204" s="65" t="s">
        <v>213</v>
      </c>
      <c r="E1204" s="8" t="s">
        <v>825</v>
      </c>
      <c r="F1204" s="9">
        <v>75</v>
      </c>
      <c r="G1204" s="37">
        <v>100</v>
      </c>
    </row>
    <row r="1205" spans="1:7" x14ac:dyDescent="0.3">
      <c r="A1205" t="s">
        <v>511</v>
      </c>
      <c r="B1205" s="1">
        <v>50</v>
      </c>
      <c r="D1205" s="9" t="s">
        <v>512</v>
      </c>
      <c r="E1205" s="8" t="s">
        <v>893</v>
      </c>
      <c r="F1205" s="8">
        <v>50</v>
      </c>
      <c r="G1205" s="32">
        <v>307</v>
      </c>
    </row>
    <row r="1206" spans="1:7" x14ac:dyDescent="0.3">
      <c r="A1206" t="s">
        <v>44</v>
      </c>
      <c r="B1206" s="1">
        <v>10</v>
      </c>
      <c r="D1206" s="9" t="s">
        <v>45</v>
      </c>
      <c r="E1206" s="42" t="s">
        <v>46</v>
      </c>
      <c r="F1206" s="9">
        <v>10</v>
      </c>
      <c r="G1206" s="32">
        <v>899</v>
      </c>
    </row>
    <row r="1207" spans="1:7" x14ac:dyDescent="0.3">
      <c r="A1207" t="s">
        <v>449</v>
      </c>
      <c r="B1207" s="1">
        <v>5</v>
      </c>
      <c r="D1207" s="9" t="s">
        <v>140</v>
      </c>
      <c r="E1207" s="8" t="s">
        <v>141</v>
      </c>
      <c r="F1207" s="8">
        <v>5</v>
      </c>
      <c r="G1207" s="32">
        <v>387</v>
      </c>
    </row>
    <row r="1208" spans="1:7" x14ac:dyDescent="0.3">
      <c r="A1208" t="s">
        <v>88</v>
      </c>
      <c r="B1208" s="1">
        <v>3</v>
      </c>
      <c r="D1208" s="9" t="s">
        <v>89</v>
      </c>
      <c r="E1208" s="8" t="s">
        <v>90</v>
      </c>
      <c r="F1208" s="8">
        <v>3</v>
      </c>
      <c r="G1208" s="32">
        <v>45</v>
      </c>
    </row>
    <row r="1209" spans="1:7" x14ac:dyDescent="0.3">
      <c r="A1209" t="s">
        <v>24</v>
      </c>
      <c r="B1209" s="1">
        <v>0.3</v>
      </c>
      <c r="D1209" s="9" t="s">
        <v>25</v>
      </c>
      <c r="E1209" s="42" t="s">
        <v>26</v>
      </c>
      <c r="F1209" s="9">
        <v>0.3</v>
      </c>
      <c r="G1209" s="32">
        <v>0</v>
      </c>
    </row>
    <row r="1210" spans="1:7" x14ac:dyDescent="0.3">
      <c r="A1210" t="s">
        <v>71</v>
      </c>
      <c r="B1210" s="1">
        <v>0.1</v>
      </c>
      <c r="D1210" s="9" t="s">
        <v>72</v>
      </c>
      <c r="E1210" s="8" t="s">
        <v>73</v>
      </c>
      <c r="F1210" s="8">
        <v>0.1</v>
      </c>
      <c r="G1210" s="32">
        <v>270</v>
      </c>
    </row>
    <row r="1211" spans="1:7" x14ac:dyDescent="0.3">
      <c r="A1211" s="3" t="s">
        <v>10</v>
      </c>
      <c r="B1211" s="1">
        <v>143.4</v>
      </c>
      <c r="E1211" s="10" t="s">
        <v>11</v>
      </c>
      <c r="F1211" s="11">
        <f>SUM(F1204:F1210)</f>
        <v>143.4</v>
      </c>
      <c r="G1211" s="13">
        <f>($F1204*G1204+G1205*$F1205+G1206*$F1206+G1207*$F1207+G1208*$F1208+G1209*$F1209+G1210*$F1210)/$F1211</f>
        <v>236.65969316596932</v>
      </c>
    </row>
    <row r="1212" spans="1:7" x14ac:dyDescent="0.3">
      <c r="A1212" s="3" t="s">
        <v>12</v>
      </c>
      <c r="B1212" s="1" t="s">
        <v>13</v>
      </c>
      <c r="E1212" s="14"/>
      <c r="F1212" s="15"/>
      <c r="G1212" s="16"/>
    </row>
    <row r="1213" spans="1:7" x14ac:dyDescent="0.3">
      <c r="E1213" s="17"/>
      <c r="F1213" s="1"/>
      <c r="G1213" s="18"/>
    </row>
    <row r="1214" spans="1:7" x14ac:dyDescent="0.3">
      <c r="E1214" s="17"/>
      <c r="F1214" s="1"/>
      <c r="G1214" s="20"/>
    </row>
    <row r="1215" spans="1:7" x14ac:dyDescent="0.3">
      <c r="A1215" s="3" t="s">
        <v>514</v>
      </c>
    </row>
    <row r="1216" spans="1:7" x14ac:dyDescent="0.3">
      <c r="A1216" t="s">
        <v>515</v>
      </c>
      <c r="B1216" s="1">
        <v>50</v>
      </c>
      <c r="D1216" s="9" t="s">
        <v>516</v>
      </c>
      <c r="E1216" s="8" t="s">
        <v>517</v>
      </c>
      <c r="F1216" s="8">
        <v>50</v>
      </c>
      <c r="G1216" s="32">
        <v>282</v>
      </c>
    </row>
    <row r="1217" spans="1:7" x14ac:dyDescent="0.3">
      <c r="A1217" t="s">
        <v>518</v>
      </c>
      <c r="B1217" s="1">
        <v>100</v>
      </c>
      <c r="D1217" s="65" t="s">
        <v>110</v>
      </c>
      <c r="E1217" s="65" t="s">
        <v>894</v>
      </c>
      <c r="F1217" s="8">
        <v>100</v>
      </c>
      <c r="G1217" s="18">
        <v>125</v>
      </c>
    </row>
    <row r="1218" spans="1:7" x14ac:dyDescent="0.3">
      <c r="A1218" t="s">
        <v>519</v>
      </c>
      <c r="B1218" s="1">
        <v>25</v>
      </c>
      <c r="D1218" s="9" t="s">
        <v>520</v>
      </c>
      <c r="E1218" s="8" t="s">
        <v>521</v>
      </c>
      <c r="F1218" s="8">
        <v>25</v>
      </c>
      <c r="G1218" s="32">
        <v>381</v>
      </c>
    </row>
    <row r="1219" spans="1:7" x14ac:dyDescent="0.3">
      <c r="A1219" t="s">
        <v>840</v>
      </c>
      <c r="B1219" s="1">
        <v>50</v>
      </c>
      <c r="D1219" s="9" t="s">
        <v>308</v>
      </c>
      <c r="E1219" s="8" t="s">
        <v>840</v>
      </c>
      <c r="F1219" s="8">
        <v>50</v>
      </c>
      <c r="G1219" s="32">
        <v>21</v>
      </c>
    </row>
    <row r="1220" spans="1:7" x14ac:dyDescent="0.3">
      <c r="A1220" t="s">
        <v>421</v>
      </c>
      <c r="B1220" s="1">
        <v>10</v>
      </c>
      <c r="D1220" s="9" t="s">
        <v>422</v>
      </c>
      <c r="E1220" s="8" t="s">
        <v>423</v>
      </c>
      <c r="F1220" s="8">
        <v>10</v>
      </c>
      <c r="G1220" s="32">
        <v>22</v>
      </c>
    </row>
    <row r="1221" spans="1:7" x14ac:dyDescent="0.3">
      <c r="A1221" t="s">
        <v>126</v>
      </c>
      <c r="B1221" s="1">
        <v>10</v>
      </c>
      <c r="D1221" s="9" t="s">
        <v>127</v>
      </c>
      <c r="E1221" s="8" t="s">
        <v>128</v>
      </c>
      <c r="F1221" s="8">
        <v>10</v>
      </c>
      <c r="G1221" s="32">
        <v>28</v>
      </c>
    </row>
    <row r="1222" spans="1:7" x14ac:dyDescent="0.3">
      <c r="A1222" s="3" t="s">
        <v>10</v>
      </c>
      <c r="B1222" s="1">
        <v>245</v>
      </c>
      <c r="E1222" s="10" t="s">
        <v>11</v>
      </c>
      <c r="F1222" s="11">
        <f>SUM(F1216:F1221)</f>
        <v>245</v>
      </c>
      <c r="G1222" s="13">
        <f>(G1216*$F1216+G1217*$F1217+G1218*$F1218+G1219*$F1219+G1220*$F1220+G1221*$F1221)/$F1222</f>
        <v>153.77551020408163</v>
      </c>
    </row>
    <row r="1223" spans="1:7" x14ac:dyDescent="0.3">
      <c r="A1223" s="3" t="s">
        <v>12</v>
      </c>
      <c r="B1223" s="1" t="s">
        <v>13</v>
      </c>
      <c r="E1223" s="14"/>
      <c r="F1223" s="15"/>
      <c r="G1223" s="16"/>
    </row>
    <row r="1224" spans="1:7" x14ac:dyDescent="0.3">
      <c r="E1224" s="17"/>
      <c r="F1224" s="1"/>
      <c r="G1224" s="18"/>
    </row>
    <row r="1225" spans="1:7" x14ac:dyDescent="0.3">
      <c r="E1225" s="17"/>
      <c r="F1225" s="1"/>
      <c r="G1225" s="20"/>
    </row>
    <row r="1226" spans="1:7" x14ac:dyDescent="0.3">
      <c r="A1226" s="3" t="s">
        <v>522</v>
      </c>
    </row>
    <row r="1227" spans="1:7" x14ac:dyDescent="0.3">
      <c r="A1227" t="s">
        <v>523</v>
      </c>
      <c r="B1227" s="1">
        <v>50</v>
      </c>
      <c r="D1227" s="9" t="s">
        <v>516</v>
      </c>
      <c r="E1227" s="8" t="s">
        <v>517</v>
      </c>
      <c r="F1227" s="8">
        <v>50</v>
      </c>
      <c r="G1227" s="32">
        <v>269</v>
      </c>
    </row>
    <row r="1228" spans="1:7" x14ac:dyDescent="0.3">
      <c r="A1228" t="s">
        <v>411</v>
      </c>
      <c r="B1228" s="1">
        <v>25</v>
      </c>
      <c r="D1228" s="9" t="s">
        <v>412</v>
      </c>
      <c r="E1228" s="8" t="s">
        <v>413</v>
      </c>
      <c r="F1228" s="8">
        <v>25</v>
      </c>
      <c r="G1228" s="32">
        <v>215</v>
      </c>
    </row>
    <row r="1229" spans="1:7" x14ac:dyDescent="0.3">
      <c r="A1229" s="3" t="s">
        <v>10</v>
      </c>
      <c r="B1229" s="1">
        <v>75</v>
      </c>
      <c r="E1229" s="10" t="s">
        <v>11</v>
      </c>
      <c r="F1229" s="11">
        <f>SUM(F1227:F1228)</f>
        <v>75</v>
      </c>
      <c r="G1229" s="13">
        <f>(G1227*$F1227+G1228*$F1228)/$F1229</f>
        <v>251</v>
      </c>
    </row>
    <row r="1230" spans="1:7" x14ac:dyDescent="0.3">
      <c r="A1230" s="3" t="s">
        <v>12</v>
      </c>
      <c r="B1230" s="1" t="s">
        <v>13</v>
      </c>
      <c r="E1230" s="14"/>
      <c r="F1230" s="15"/>
      <c r="G1230" s="16"/>
    </row>
    <row r="1231" spans="1:7" x14ac:dyDescent="0.3">
      <c r="E1231" s="17"/>
      <c r="F1231" s="1"/>
      <c r="G1231" s="18"/>
    </row>
    <row r="1232" spans="1:7" x14ac:dyDescent="0.3">
      <c r="E1232" s="17"/>
      <c r="F1232" s="1"/>
      <c r="G1232" s="20"/>
    </row>
    <row r="1233" spans="1:8" x14ac:dyDescent="0.3">
      <c r="A1233" s="3" t="s">
        <v>524</v>
      </c>
    </row>
    <row r="1234" spans="1:8" x14ac:dyDescent="0.3">
      <c r="A1234" t="s">
        <v>523</v>
      </c>
      <c r="B1234" s="1">
        <v>50</v>
      </c>
      <c r="D1234" s="9" t="s">
        <v>516</v>
      </c>
      <c r="E1234" s="8" t="s">
        <v>517</v>
      </c>
      <c r="F1234" s="8">
        <v>50</v>
      </c>
      <c r="G1234" s="32">
        <v>269</v>
      </c>
    </row>
    <row r="1235" spans="1:8" x14ac:dyDescent="0.3">
      <c r="A1235" t="s">
        <v>411</v>
      </c>
      <c r="B1235" s="1">
        <v>25</v>
      </c>
      <c r="D1235" s="9" t="s">
        <v>412</v>
      </c>
      <c r="E1235" s="8" t="s">
        <v>413</v>
      </c>
      <c r="F1235" s="8">
        <v>25</v>
      </c>
      <c r="G1235" s="32">
        <v>215</v>
      </c>
    </row>
    <row r="1236" spans="1:8" x14ac:dyDescent="0.3">
      <c r="A1236" t="s">
        <v>429</v>
      </c>
      <c r="B1236" s="1">
        <v>25</v>
      </c>
      <c r="D1236" s="9" t="s">
        <v>430</v>
      </c>
      <c r="E1236" s="8" t="s">
        <v>431</v>
      </c>
      <c r="F1236" s="8">
        <v>25</v>
      </c>
      <c r="G1236" s="32">
        <v>343</v>
      </c>
    </row>
    <row r="1237" spans="1:8" x14ac:dyDescent="0.3">
      <c r="A1237" s="3" t="s">
        <v>10</v>
      </c>
      <c r="B1237" s="1">
        <v>100</v>
      </c>
      <c r="E1237" s="10" t="s">
        <v>11</v>
      </c>
      <c r="F1237" s="12">
        <f>SUM(F1234:F1236)</f>
        <v>100</v>
      </c>
      <c r="G1237" s="13">
        <f>(G1234*$F1234+G1235*$F1235+G1236*$F1236)/$F1237</f>
        <v>274</v>
      </c>
    </row>
    <row r="1238" spans="1:8" x14ac:dyDescent="0.3">
      <c r="A1238" s="3" t="s">
        <v>12</v>
      </c>
      <c r="B1238" s="1" t="s">
        <v>13</v>
      </c>
      <c r="E1238" s="14"/>
      <c r="F1238" s="15"/>
      <c r="G1238" s="15"/>
    </row>
    <row r="1239" spans="1:8" x14ac:dyDescent="0.3">
      <c r="E1239" s="17"/>
      <c r="F1239" s="1"/>
      <c r="G1239" s="18"/>
    </row>
    <row r="1240" spans="1:8" x14ac:dyDescent="0.3">
      <c r="E1240" s="17"/>
      <c r="F1240" s="1"/>
      <c r="G1240" s="20"/>
    </row>
    <row r="1241" spans="1:8" s="3" customFormat="1" x14ac:dyDescent="0.3">
      <c r="A1241" s="3" t="s">
        <v>525</v>
      </c>
      <c r="B1241" s="2"/>
      <c r="D1241" s="56"/>
      <c r="H1241"/>
    </row>
    <row r="1242" spans="1:8" x14ac:dyDescent="0.3">
      <c r="A1242" t="s">
        <v>523</v>
      </c>
      <c r="B1242" s="1">
        <v>50</v>
      </c>
      <c r="D1242" s="9" t="s">
        <v>516</v>
      </c>
      <c r="E1242" s="8" t="s">
        <v>517</v>
      </c>
      <c r="F1242" s="8">
        <v>50</v>
      </c>
      <c r="G1242" s="32">
        <v>269</v>
      </c>
    </row>
    <row r="1243" spans="1:8" x14ac:dyDescent="0.3">
      <c r="A1243" t="s">
        <v>526</v>
      </c>
      <c r="B1243" s="1">
        <v>25</v>
      </c>
      <c r="D1243" s="9" t="s">
        <v>527</v>
      </c>
      <c r="E1243" s="8" t="s">
        <v>528</v>
      </c>
      <c r="F1243" s="8">
        <v>25</v>
      </c>
      <c r="G1243" s="32">
        <v>384</v>
      </c>
    </row>
    <row r="1244" spans="1:8" x14ac:dyDescent="0.3">
      <c r="A1244" s="3" t="s">
        <v>10</v>
      </c>
      <c r="B1244" s="1">
        <v>75</v>
      </c>
      <c r="E1244" s="10" t="s">
        <v>11</v>
      </c>
      <c r="F1244" s="11">
        <f>SUM(F1242:F1243)</f>
        <v>75</v>
      </c>
      <c r="G1244" s="13">
        <f>(G1242*$F1242+G1243*$F1243)/$F1244</f>
        <v>307.33333333333331</v>
      </c>
    </row>
    <row r="1245" spans="1:8" x14ac:dyDescent="0.3">
      <c r="A1245" s="3" t="s">
        <v>12</v>
      </c>
      <c r="B1245" s="1" t="s">
        <v>13</v>
      </c>
      <c r="E1245" s="14"/>
      <c r="F1245" s="15"/>
      <c r="G1245" s="16"/>
    </row>
    <row r="1246" spans="1:8" x14ac:dyDescent="0.3">
      <c r="E1246" s="17"/>
      <c r="F1246" s="1"/>
      <c r="G1246" s="18"/>
    </row>
    <row r="1247" spans="1:8" x14ac:dyDescent="0.3">
      <c r="E1247" s="17"/>
      <c r="F1247" s="1"/>
      <c r="G1247" s="20"/>
    </row>
    <row r="1248" spans="1:8" x14ac:dyDescent="0.3">
      <c r="A1248" s="3" t="s">
        <v>529</v>
      </c>
      <c r="E1248" s="17"/>
      <c r="F1248" s="1"/>
      <c r="G1248" s="21"/>
    </row>
    <row r="1249" spans="1:7" x14ac:dyDescent="0.3">
      <c r="A1249" t="s">
        <v>511</v>
      </c>
      <c r="B1249" s="1">
        <v>50</v>
      </c>
      <c r="D1249" s="9" t="s">
        <v>512</v>
      </c>
      <c r="E1249" s="8" t="s">
        <v>893</v>
      </c>
      <c r="F1249" s="8">
        <v>50</v>
      </c>
      <c r="G1249" s="32">
        <v>289</v>
      </c>
    </row>
    <row r="1250" spans="1:7" x14ac:dyDescent="0.3">
      <c r="A1250" t="s">
        <v>840</v>
      </c>
      <c r="B1250" s="1">
        <v>100</v>
      </c>
      <c r="D1250" s="9" t="s">
        <v>308</v>
      </c>
      <c r="E1250" s="8" t="s">
        <v>840</v>
      </c>
      <c r="F1250" s="8">
        <v>100</v>
      </c>
      <c r="G1250" s="32">
        <v>21</v>
      </c>
    </row>
    <row r="1251" spans="1:7" x14ac:dyDescent="0.3">
      <c r="A1251" t="s">
        <v>126</v>
      </c>
      <c r="B1251" s="1">
        <v>10</v>
      </c>
      <c r="D1251" s="9" t="s">
        <v>127</v>
      </c>
      <c r="E1251" s="8" t="s">
        <v>128</v>
      </c>
      <c r="F1251" s="8">
        <v>10</v>
      </c>
      <c r="G1251" s="32">
        <v>28</v>
      </c>
    </row>
    <row r="1252" spans="1:7" x14ac:dyDescent="0.3">
      <c r="A1252" t="s">
        <v>174</v>
      </c>
      <c r="B1252" s="1">
        <v>2</v>
      </c>
      <c r="D1252" s="9" t="s">
        <v>175</v>
      </c>
      <c r="E1252" s="8" t="s">
        <v>176</v>
      </c>
      <c r="F1252" s="8">
        <v>2</v>
      </c>
      <c r="G1252" s="32">
        <v>49</v>
      </c>
    </row>
    <row r="1253" spans="1:7" x14ac:dyDescent="0.3">
      <c r="A1253" t="s">
        <v>44</v>
      </c>
      <c r="B1253" s="1">
        <v>10</v>
      </c>
      <c r="D1253" s="9" t="s">
        <v>45</v>
      </c>
      <c r="E1253" s="8" t="s">
        <v>46</v>
      </c>
      <c r="F1253" s="8">
        <v>10</v>
      </c>
      <c r="G1253" s="32">
        <v>899</v>
      </c>
    </row>
    <row r="1254" spans="1:7" x14ac:dyDescent="0.3">
      <c r="A1254" t="s">
        <v>21</v>
      </c>
      <c r="B1254" s="1">
        <v>5</v>
      </c>
      <c r="D1254" s="9" t="s">
        <v>22</v>
      </c>
      <c r="E1254" s="8" t="s">
        <v>23</v>
      </c>
      <c r="F1254" s="8">
        <v>5</v>
      </c>
      <c r="G1254" s="32">
        <v>4</v>
      </c>
    </row>
    <row r="1255" spans="1:7" x14ac:dyDescent="0.3">
      <c r="A1255" t="s">
        <v>129</v>
      </c>
      <c r="B1255" s="1">
        <v>10</v>
      </c>
      <c r="D1255" s="9" t="s">
        <v>130</v>
      </c>
      <c r="E1255" s="8" t="s">
        <v>131</v>
      </c>
      <c r="F1255" s="8">
        <v>10</v>
      </c>
      <c r="G1255" s="32">
        <v>23</v>
      </c>
    </row>
    <row r="1256" spans="1:7" x14ac:dyDescent="0.3">
      <c r="A1256" t="s">
        <v>24</v>
      </c>
      <c r="B1256" s="1">
        <v>0.3</v>
      </c>
      <c r="D1256" s="9" t="s">
        <v>25</v>
      </c>
      <c r="E1256" s="8" t="s">
        <v>26</v>
      </c>
      <c r="F1256" s="8">
        <v>0.3</v>
      </c>
      <c r="G1256" s="32">
        <v>0</v>
      </c>
    </row>
    <row r="1257" spans="1:7" x14ac:dyDescent="0.3">
      <c r="A1257" t="s">
        <v>71</v>
      </c>
      <c r="B1257" s="1">
        <v>0.1</v>
      </c>
      <c r="D1257" s="9" t="s">
        <v>72</v>
      </c>
      <c r="E1257" s="8" t="s">
        <v>73</v>
      </c>
      <c r="F1257" s="8">
        <v>0.1</v>
      </c>
      <c r="G1257" s="32">
        <v>270</v>
      </c>
    </row>
    <row r="1258" spans="1:7" x14ac:dyDescent="0.3">
      <c r="A1258" s="3" t="s">
        <v>10</v>
      </c>
      <c r="B1258" s="1">
        <v>187.4</v>
      </c>
      <c r="E1258" s="10" t="s">
        <v>11</v>
      </c>
      <c r="F1258" s="11">
        <f>SUM(F1249:F1257)</f>
        <v>187.4</v>
      </c>
      <c r="G1258" s="13">
        <f>($F1249*G1249+$F1250*G1250+$F1251*G1251+G1252*$F1252+G1253*$F1253+G1254*$F1254+G1255*$F1255+G1256*$F1256+G1257*$F1257)/$F1258</f>
        <v>139.78121664887939</v>
      </c>
    </row>
    <row r="1259" spans="1:7" x14ac:dyDescent="0.3">
      <c r="A1259" s="3" t="s">
        <v>12</v>
      </c>
      <c r="B1259" s="1" t="s">
        <v>13</v>
      </c>
      <c r="E1259" s="14"/>
      <c r="F1259" s="15"/>
      <c r="G1259" s="16"/>
    </row>
    <row r="1260" spans="1:7" x14ac:dyDescent="0.3">
      <c r="E1260" s="17"/>
      <c r="F1260" s="1"/>
      <c r="G1260" s="18"/>
    </row>
    <row r="1261" spans="1:7" x14ac:dyDescent="0.3">
      <c r="E1261" s="17"/>
      <c r="F1261" s="1"/>
      <c r="G1261" s="20"/>
    </row>
    <row r="1262" spans="1:7" x14ac:dyDescent="0.3">
      <c r="A1262" s="3" t="s">
        <v>530</v>
      </c>
    </row>
    <row r="1263" spans="1:7" x14ac:dyDescent="0.3">
      <c r="A1263" t="s">
        <v>825</v>
      </c>
      <c r="B1263" s="1">
        <v>180</v>
      </c>
      <c r="D1263" s="65" t="s">
        <v>213</v>
      </c>
      <c r="E1263" s="8" t="s">
        <v>825</v>
      </c>
      <c r="F1263" s="9">
        <v>180</v>
      </c>
      <c r="G1263" s="37">
        <v>100</v>
      </c>
    </row>
    <row r="1264" spans="1:7" x14ac:dyDescent="0.3">
      <c r="A1264" t="s">
        <v>511</v>
      </c>
      <c r="B1264" s="1">
        <v>50</v>
      </c>
      <c r="D1264" s="9" t="s">
        <v>512</v>
      </c>
      <c r="E1264" s="8" t="s">
        <v>893</v>
      </c>
      <c r="F1264" s="8">
        <v>50</v>
      </c>
      <c r="G1264" s="32">
        <v>289</v>
      </c>
    </row>
    <row r="1265" spans="1:7" x14ac:dyDescent="0.3">
      <c r="A1265" t="s">
        <v>262</v>
      </c>
      <c r="B1265" s="1">
        <v>125</v>
      </c>
      <c r="D1265" s="9" t="s">
        <v>263</v>
      </c>
      <c r="E1265" s="8" t="s">
        <v>264</v>
      </c>
      <c r="F1265" s="8">
        <v>125</v>
      </c>
      <c r="G1265" s="32">
        <v>5</v>
      </c>
    </row>
    <row r="1266" spans="1:7" x14ac:dyDescent="0.3">
      <c r="A1266" t="s">
        <v>44</v>
      </c>
      <c r="B1266" s="1">
        <v>10</v>
      </c>
      <c r="D1266" s="9" t="s">
        <v>45</v>
      </c>
      <c r="E1266" s="42" t="s">
        <v>46</v>
      </c>
      <c r="F1266" s="9">
        <v>10</v>
      </c>
      <c r="G1266" s="32">
        <v>899</v>
      </c>
    </row>
    <row r="1267" spans="1:7" x14ac:dyDescent="0.3">
      <c r="A1267" t="s">
        <v>88</v>
      </c>
      <c r="B1267" s="1">
        <v>3</v>
      </c>
      <c r="D1267" s="9" t="s">
        <v>89</v>
      </c>
      <c r="E1267" s="8" t="s">
        <v>90</v>
      </c>
      <c r="F1267" s="8">
        <v>3</v>
      </c>
      <c r="G1267" s="32">
        <v>45</v>
      </c>
    </row>
    <row r="1268" spans="1:7" x14ac:dyDescent="0.3">
      <c r="A1268" t="s">
        <v>71</v>
      </c>
      <c r="B1268" s="1">
        <v>0.1</v>
      </c>
      <c r="D1268" s="9" t="s">
        <v>72</v>
      </c>
      <c r="E1268" s="8" t="s">
        <v>73</v>
      </c>
      <c r="F1268" s="8">
        <v>0.1</v>
      </c>
      <c r="G1268" s="32">
        <v>270</v>
      </c>
    </row>
    <row r="1269" spans="1:7" x14ac:dyDescent="0.3">
      <c r="A1269" t="s">
        <v>174</v>
      </c>
      <c r="B1269" s="1">
        <v>3</v>
      </c>
      <c r="D1269" s="9" t="s">
        <v>175</v>
      </c>
      <c r="E1269" s="8" t="s">
        <v>176</v>
      </c>
      <c r="F1269" s="8">
        <v>3</v>
      </c>
      <c r="G1269" s="32">
        <v>49</v>
      </c>
    </row>
    <row r="1270" spans="1:7" x14ac:dyDescent="0.3">
      <c r="A1270" s="3" t="s">
        <v>10</v>
      </c>
      <c r="B1270" s="1">
        <v>371.1</v>
      </c>
      <c r="E1270" s="10" t="s">
        <v>11</v>
      </c>
      <c r="F1270" s="11">
        <f>SUM(F1261:F1269)</f>
        <v>371.1</v>
      </c>
      <c r="G1270" s="13">
        <f>($F1263*G1263+G1264*$F1264+G1265*$F1265+G1266*$F1266+G1267*$F1267+G1268*$F1268+G1269*$F1269)/$F1270</f>
        <v>114.184855834007</v>
      </c>
    </row>
    <row r="1271" spans="1:7" x14ac:dyDescent="0.3">
      <c r="A1271" s="3" t="s">
        <v>12</v>
      </c>
      <c r="B1271" s="1" t="s">
        <v>13</v>
      </c>
      <c r="E1271" s="14"/>
      <c r="F1271" s="15"/>
      <c r="G1271" s="16"/>
    </row>
    <row r="1272" spans="1:7" x14ac:dyDescent="0.3">
      <c r="E1272" s="17"/>
      <c r="F1272" s="1"/>
      <c r="G1272" s="18"/>
    </row>
    <row r="1273" spans="1:7" x14ac:dyDescent="0.3">
      <c r="E1273" s="17"/>
      <c r="F1273" s="1"/>
      <c r="G1273" s="20"/>
    </row>
    <row r="1274" spans="1:7" x14ac:dyDescent="0.3">
      <c r="A1274" s="3" t="s">
        <v>531</v>
      </c>
    </row>
    <row r="1275" spans="1:7" x14ac:dyDescent="0.3">
      <c r="A1275" t="s">
        <v>371</v>
      </c>
      <c r="B1275" s="1">
        <v>200</v>
      </c>
      <c r="D1275" s="9" t="s">
        <v>372</v>
      </c>
      <c r="E1275" s="8" t="s">
        <v>373</v>
      </c>
      <c r="F1275" s="8">
        <v>200</v>
      </c>
      <c r="G1275" s="32">
        <v>20</v>
      </c>
    </row>
    <row r="1276" spans="1:7" x14ac:dyDescent="0.3">
      <c r="A1276" t="s">
        <v>171</v>
      </c>
      <c r="B1276" s="1">
        <v>50</v>
      </c>
      <c r="D1276" s="9" t="s">
        <v>172</v>
      </c>
      <c r="E1276" s="8" t="s">
        <v>173</v>
      </c>
      <c r="F1276" s="8">
        <v>50</v>
      </c>
      <c r="G1276" s="32">
        <v>253</v>
      </c>
    </row>
    <row r="1277" spans="1:7" x14ac:dyDescent="0.3">
      <c r="A1277" t="s">
        <v>825</v>
      </c>
      <c r="B1277" s="1">
        <v>85</v>
      </c>
      <c r="D1277" s="65" t="s">
        <v>213</v>
      </c>
      <c r="E1277" s="8" t="s">
        <v>825</v>
      </c>
      <c r="F1277" s="8">
        <v>85</v>
      </c>
      <c r="G1277" s="37">
        <v>100</v>
      </c>
    </row>
    <row r="1278" spans="1:7" x14ac:dyDescent="0.3">
      <c r="A1278" t="s">
        <v>126</v>
      </c>
      <c r="B1278" s="1">
        <v>15</v>
      </c>
      <c r="D1278" s="9" t="s">
        <v>127</v>
      </c>
      <c r="E1278" s="8" t="s">
        <v>128</v>
      </c>
      <c r="F1278" s="8">
        <v>15</v>
      </c>
      <c r="G1278" s="32">
        <v>28</v>
      </c>
    </row>
    <row r="1279" spans="1:7" x14ac:dyDescent="0.3">
      <c r="A1279" t="s">
        <v>139</v>
      </c>
      <c r="B1279" s="1">
        <v>20</v>
      </c>
      <c r="D1279" s="9" t="s">
        <v>140</v>
      </c>
      <c r="E1279" s="8" t="s">
        <v>141</v>
      </c>
      <c r="F1279" s="8">
        <v>20</v>
      </c>
      <c r="G1279" s="32">
        <v>387</v>
      </c>
    </row>
    <row r="1280" spans="1:7" x14ac:dyDescent="0.3">
      <c r="A1280" t="s">
        <v>88</v>
      </c>
      <c r="B1280" s="1">
        <v>2</v>
      </c>
      <c r="D1280" s="9" t="s">
        <v>89</v>
      </c>
      <c r="E1280" s="8" t="s">
        <v>90</v>
      </c>
      <c r="F1280" s="8">
        <v>2</v>
      </c>
      <c r="G1280" s="32">
        <v>45</v>
      </c>
    </row>
    <row r="1281" spans="1:7" x14ac:dyDescent="0.3">
      <c r="A1281" t="s">
        <v>174</v>
      </c>
      <c r="B1281" s="1">
        <v>2</v>
      </c>
      <c r="D1281" s="9" t="s">
        <v>175</v>
      </c>
      <c r="E1281" s="8" t="s">
        <v>176</v>
      </c>
      <c r="F1281" s="8">
        <v>2</v>
      </c>
      <c r="G1281" s="32">
        <v>49</v>
      </c>
    </row>
    <row r="1282" spans="1:7" x14ac:dyDescent="0.3">
      <c r="A1282" t="s">
        <v>66</v>
      </c>
      <c r="B1282" s="1">
        <v>10</v>
      </c>
      <c r="D1282" s="9" t="s">
        <v>67</v>
      </c>
      <c r="E1282" s="8" t="s">
        <v>68</v>
      </c>
      <c r="F1282" s="8">
        <v>10</v>
      </c>
      <c r="G1282" s="32">
        <v>323</v>
      </c>
    </row>
    <row r="1283" spans="1:7" x14ac:dyDescent="0.3">
      <c r="A1283" t="s">
        <v>44</v>
      </c>
      <c r="B1283" s="1">
        <v>25</v>
      </c>
      <c r="D1283" s="9" t="s">
        <v>45</v>
      </c>
      <c r="E1283" s="8" t="s">
        <v>46</v>
      </c>
      <c r="F1283" s="8">
        <v>25</v>
      </c>
      <c r="G1283" s="32">
        <v>899</v>
      </c>
    </row>
    <row r="1284" spans="1:7" x14ac:dyDescent="0.3">
      <c r="A1284" t="s">
        <v>24</v>
      </c>
      <c r="B1284" s="1">
        <v>0.3</v>
      </c>
      <c r="D1284" s="9" t="s">
        <v>25</v>
      </c>
      <c r="E1284" s="8" t="s">
        <v>26</v>
      </c>
      <c r="F1284" s="8">
        <v>0.3</v>
      </c>
      <c r="G1284" s="32">
        <v>0</v>
      </c>
    </row>
    <row r="1285" spans="1:7" x14ac:dyDescent="0.3">
      <c r="A1285" t="s">
        <v>71</v>
      </c>
      <c r="B1285" s="1">
        <v>0.1</v>
      </c>
      <c r="D1285" s="9" t="s">
        <v>72</v>
      </c>
      <c r="E1285" s="8" t="s">
        <v>73</v>
      </c>
      <c r="F1285" s="8">
        <v>0.1</v>
      </c>
      <c r="G1285" s="32">
        <v>270</v>
      </c>
    </row>
    <row r="1286" spans="1:7" x14ac:dyDescent="0.3">
      <c r="A1286" s="3" t="s">
        <v>10</v>
      </c>
      <c r="B1286" s="1">
        <v>409.4</v>
      </c>
      <c r="E1286" s="10" t="s">
        <v>11</v>
      </c>
      <c r="F1286" s="11">
        <f>SUM(F1275:F1285)</f>
        <v>409.40000000000003</v>
      </c>
      <c r="G1286" s="13">
        <f>($F1275*G1275+$F1276*G1276+$F1277*G1277+$F1278*G1278+$F1279*G1279+G1280*$F1280+G1281*$F1281+G1282*$F1282+G1283*$F1283+G1284*$F1284+G1285*$F1285)/$F1286</f>
        <v>144.67513434294088</v>
      </c>
    </row>
    <row r="1287" spans="1:7" x14ac:dyDescent="0.3">
      <c r="A1287" s="3" t="s">
        <v>12</v>
      </c>
      <c r="B1287" s="1" t="s">
        <v>13</v>
      </c>
      <c r="E1287" s="14"/>
      <c r="F1287" s="15"/>
      <c r="G1287" s="16"/>
    </row>
    <row r="1288" spans="1:7" x14ac:dyDescent="0.3">
      <c r="E1288" s="17"/>
      <c r="F1288" s="1"/>
      <c r="G1288" s="18"/>
    </row>
    <row r="1289" spans="1:7" x14ac:dyDescent="0.3">
      <c r="E1289" s="17"/>
      <c r="F1289" s="1"/>
      <c r="G1289" s="20"/>
    </row>
    <row r="1290" spans="1:7" x14ac:dyDescent="0.3">
      <c r="A1290" s="3" t="s">
        <v>532</v>
      </c>
    </row>
    <row r="1291" spans="1:7" x14ac:dyDescent="0.3">
      <c r="A1291" t="s">
        <v>262</v>
      </c>
      <c r="B1291" s="1">
        <v>125</v>
      </c>
      <c r="D1291" s="9" t="s">
        <v>263</v>
      </c>
      <c r="E1291" s="8" t="s">
        <v>264</v>
      </c>
      <c r="F1291" s="8">
        <v>125</v>
      </c>
      <c r="G1291" s="32">
        <v>5</v>
      </c>
    </row>
    <row r="1292" spans="1:7" x14ac:dyDescent="0.3">
      <c r="A1292" t="s">
        <v>840</v>
      </c>
      <c r="B1292" s="1">
        <v>30</v>
      </c>
      <c r="D1292" s="9" t="s">
        <v>308</v>
      </c>
      <c r="E1292" s="8" t="s">
        <v>840</v>
      </c>
      <c r="F1292" s="8">
        <v>30</v>
      </c>
      <c r="G1292" s="32">
        <v>21</v>
      </c>
    </row>
    <row r="1293" spans="1:7" x14ac:dyDescent="0.3">
      <c r="A1293" t="s">
        <v>895</v>
      </c>
      <c r="B1293" s="1">
        <v>30</v>
      </c>
      <c r="D1293" s="65" t="s">
        <v>489</v>
      </c>
      <c r="E1293" s="8" t="s">
        <v>895</v>
      </c>
      <c r="F1293" s="9">
        <v>30</v>
      </c>
      <c r="G1293" s="18">
        <v>24</v>
      </c>
    </row>
    <row r="1294" spans="1:7" x14ac:dyDescent="0.3">
      <c r="A1294" t="s">
        <v>374</v>
      </c>
      <c r="B1294" s="1">
        <v>30</v>
      </c>
      <c r="D1294" s="9" t="s">
        <v>375</v>
      </c>
      <c r="E1294" s="8" t="s">
        <v>376</v>
      </c>
      <c r="F1294" s="8">
        <v>30</v>
      </c>
      <c r="G1294" s="32">
        <v>14</v>
      </c>
    </row>
    <row r="1295" spans="1:7" x14ac:dyDescent="0.3">
      <c r="A1295" t="s">
        <v>88</v>
      </c>
      <c r="B1295" s="1">
        <v>2</v>
      </c>
      <c r="D1295" s="9" t="s">
        <v>89</v>
      </c>
      <c r="E1295" s="8" t="s">
        <v>90</v>
      </c>
      <c r="F1295" s="8">
        <v>2</v>
      </c>
      <c r="G1295" s="32">
        <v>45</v>
      </c>
    </row>
    <row r="1296" spans="1:7" x14ac:dyDescent="0.3">
      <c r="A1296" t="s">
        <v>123</v>
      </c>
      <c r="B1296" s="1">
        <v>40</v>
      </c>
      <c r="D1296" s="9" t="s">
        <v>124</v>
      </c>
      <c r="E1296" s="8" t="s">
        <v>125</v>
      </c>
      <c r="F1296" s="8">
        <v>40</v>
      </c>
      <c r="G1296" s="32">
        <v>39</v>
      </c>
    </row>
    <row r="1297" spans="1:7" x14ac:dyDescent="0.3">
      <c r="A1297" t="s">
        <v>126</v>
      </c>
      <c r="B1297" s="1">
        <v>30</v>
      </c>
      <c r="D1297" s="9" t="s">
        <v>127</v>
      </c>
      <c r="E1297" s="8" t="s">
        <v>128</v>
      </c>
      <c r="F1297" s="8">
        <v>30</v>
      </c>
      <c r="G1297" s="32">
        <v>28</v>
      </c>
    </row>
    <row r="1298" spans="1:7" x14ac:dyDescent="0.3">
      <c r="A1298" t="s">
        <v>105</v>
      </c>
      <c r="B1298" s="1">
        <v>1</v>
      </c>
      <c r="D1298" s="9" t="s">
        <v>106</v>
      </c>
      <c r="E1298" s="8" t="s">
        <v>107</v>
      </c>
      <c r="F1298" s="8">
        <v>1</v>
      </c>
      <c r="G1298" s="32">
        <v>30</v>
      </c>
    </row>
    <row r="1299" spans="1:7" x14ac:dyDescent="0.3">
      <c r="A1299" t="s">
        <v>129</v>
      </c>
      <c r="B1299" s="1">
        <v>40</v>
      </c>
      <c r="D1299" s="9" t="s">
        <v>130</v>
      </c>
      <c r="E1299" s="8" t="s">
        <v>131</v>
      </c>
      <c r="F1299" s="8">
        <v>40</v>
      </c>
      <c r="G1299" s="32">
        <v>23</v>
      </c>
    </row>
    <row r="1300" spans="1:7" x14ac:dyDescent="0.3">
      <c r="A1300" t="s">
        <v>139</v>
      </c>
      <c r="B1300" s="1">
        <v>5</v>
      </c>
      <c r="D1300" s="9" t="s">
        <v>140</v>
      </c>
      <c r="E1300" s="8" t="s">
        <v>141</v>
      </c>
      <c r="F1300" s="8">
        <v>5</v>
      </c>
      <c r="G1300" s="32">
        <v>387</v>
      </c>
    </row>
    <row r="1301" spans="1:7" x14ac:dyDescent="0.3">
      <c r="A1301" t="s">
        <v>44</v>
      </c>
      <c r="B1301" s="1">
        <v>10</v>
      </c>
      <c r="D1301" s="9" t="s">
        <v>45</v>
      </c>
      <c r="E1301" s="8" t="s">
        <v>46</v>
      </c>
      <c r="F1301" s="8">
        <v>10</v>
      </c>
      <c r="G1301" s="32">
        <v>899</v>
      </c>
    </row>
    <row r="1302" spans="1:7" x14ac:dyDescent="0.3">
      <c r="A1302" t="s">
        <v>71</v>
      </c>
      <c r="B1302" s="1">
        <v>0.1</v>
      </c>
      <c r="D1302" s="9" t="s">
        <v>72</v>
      </c>
      <c r="E1302" s="8" t="s">
        <v>73</v>
      </c>
      <c r="F1302" s="8">
        <v>0.1</v>
      </c>
      <c r="G1302" s="32">
        <v>270</v>
      </c>
    </row>
    <row r="1303" spans="1:7" x14ac:dyDescent="0.3">
      <c r="A1303" s="3" t="s">
        <v>10</v>
      </c>
      <c r="B1303" s="1">
        <v>343.1</v>
      </c>
      <c r="E1303" s="10" t="s">
        <v>11</v>
      </c>
      <c r="F1303" s="11">
        <f>SUM(F1291:F1302)</f>
        <v>343.1</v>
      </c>
      <c r="G1303" s="13">
        <f>($F1291*G1291+$F1292*G1292+$F1293*G1293+$F1294*G1294+$F1295*G1295+$F1296*G1296+G1297*$F1297+G1298*$F1298+G1299*$F1299+G1300*$F1300+G1301*$F1301+G1302*$F1302)/$F1303</f>
        <v>48.927426406295538</v>
      </c>
    </row>
    <row r="1304" spans="1:7" x14ac:dyDescent="0.3">
      <c r="A1304" s="3" t="s">
        <v>12</v>
      </c>
      <c r="B1304" s="1" t="s">
        <v>13</v>
      </c>
      <c r="E1304" s="14"/>
      <c r="F1304" s="15"/>
      <c r="G1304" s="16"/>
    </row>
    <row r="1305" spans="1:7" x14ac:dyDescent="0.3">
      <c r="E1305" s="17"/>
      <c r="F1305" s="1"/>
      <c r="G1305" s="18"/>
    </row>
    <row r="1306" spans="1:7" x14ac:dyDescent="0.3">
      <c r="E1306" s="17"/>
      <c r="F1306" s="1"/>
      <c r="G1306" s="20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03"/>
  <sheetViews>
    <sheetView zoomScale="90" zoomScaleNormal="90" workbookViewId="0">
      <pane xSplit="2" ySplit="2" topLeftCell="C1241" activePane="bottomRight" state="frozen"/>
      <selection pane="topRight" activeCell="C1" sqref="C1"/>
      <selection pane="bottomLeft" activeCell="A3" sqref="A3"/>
      <selection pane="bottomRight" activeCell="J1266" sqref="J1266"/>
    </sheetView>
  </sheetViews>
  <sheetFormatPr defaultColWidth="11.44140625" defaultRowHeight="14.4" x14ac:dyDescent="0.3"/>
  <cols>
    <col min="1" max="1" width="30.44140625" customWidth="1"/>
    <col min="2" max="2" width="8.6640625" style="1" bestFit="1" customWidth="1"/>
    <col min="3" max="3" width="5" customWidth="1"/>
    <col min="4" max="4" width="12.109375" customWidth="1"/>
    <col min="5" max="5" width="28" customWidth="1"/>
    <col min="7" max="7" width="7.33203125" style="17" customWidth="1"/>
    <col min="8" max="8" width="21.109375" bestFit="1" customWidth="1"/>
    <col min="9" max="9" width="12.21875" bestFit="1" customWidth="1"/>
    <col min="10" max="10" width="24.109375" bestFit="1" customWidth="1"/>
    <col min="11" max="11" width="22.21875" bestFit="1" customWidth="1"/>
    <col min="12" max="12" width="13.21875" bestFit="1" customWidth="1"/>
    <col min="13" max="13" width="15.44140625" bestFit="1" customWidth="1"/>
    <col min="14" max="14" width="15.5546875" bestFit="1" customWidth="1"/>
    <col min="15" max="15" width="11" bestFit="1" customWidth="1"/>
    <col min="16" max="16" width="12.88671875" bestFit="1" customWidth="1"/>
    <col min="17" max="17" width="13" bestFit="1" customWidth="1"/>
    <col min="18" max="18" width="10.77734375" bestFit="1" customWidth="1"/>
    <col min="19" max="19" width="26" bestFit="1" customWidth="1"/>
    <col min="20" max="20" width="11.5546875" bestFit="1" customWidth="1"/>
    <col min="21" max="21" width="23.21875" bestFit="1" customWidth="1"/>
    <col min="22" max="22" width="21.109375" bestFit="1" customWidth="1"/>
    <col min="23" max="23" width="5.21875" bestFit="1" customWidth="1"/>
    <col min="24" max="24" width="6.109375" bestFit="1" customWidth="1"/>
    <col min="25" max="25" width="5.44140625" bestFit="1" customWidth="1"/>
    <col min="26" max="26" width="6.109375" bestFit="1" customWidth="1"/>
    <col min="27" max="27" width="5.77734375" bestFit="1" customWidth="1"/>
    <col min="28" max="28" width="8.33203125" bestFit="1" customWidth="1"/>
    <col min="29" max="29" width="7.33203125" bestFit="1" customWidth="1"/>
    <col min="30" max="30" width="5.5546875" bestFit="1" customWidth="1"/>
    <col min="31" max="31" width="9.44140625" bestFit="1" customWidth="1"/>
    <col min="32" max="32" width="5.77734375" bestFit="1" customWidth="1"/>
    <col min="33" max="33" width="7.44140625" bestFit="1" customWidth="1"/>
    <col min="34" max="34" width="5.44140625" bestFit="1" customWidth="1"/>
    <col min="35" max="35" width="5.5546875" bestFit="1" customWidth="1"/>
    <col min="36" max="36" width="11" bestFit="1" customWidth="1"/>
    <col min="37" max="37" width="5.44140625" bestFit="1" customWidth="1"/>
    <col min="38" max="38" width="19.44140625" bestFit="1" customWidth="1"/>
    <col min="39" max="39" width="22.21875" bestFit="1" customWidth="1"/>
    <col min="40" max="40" width="10.109375" bestFit="1" customWidth="1"/>
    <col min="41" max="41" width="7.44140625" bestFit="1" customWidth="1"/>
    <col min="42" max="42" width="11.21875" bestFit="1" customWidth="1"/>
    <col min="43" max="43" width="11.109375" bestFit="1" customWidth="1"/>
    <col min="44" max="44" width="16.5546875" bestFit="1" customWidth="1"/>
    <col min="45" max="45" width="7.21875" bestFit="1" customWidth="1"/>
    <col min="46" max="46" width="12.21875" bestFit="1" customWidth="1"/>
    <col min="47" max="47" width="22.44140625" bestFit="1" customWidth="1"/>
    <col min="48" max="48" width="8.33203125" bestFit="1" customWidth="1"/>
    <col min="49" max="49" width="20.5546875" bestFit="1" customWidth="1"/>
    <col min="50" max="50" width="15" bestFit="1" customWidth="1"/>
    <col min="51" max="51" width="10.44140625" bestFit="1" customWidth="1"/>
    <col min="52" max="52" width="10.109375" bestFit="1" customWidth="1"/>
    <col min="53" max="53" width="21.5546875" bestFit="1" customWidth="1"/>
    <col min="54" max="54" width="71.109375" bestFit="1" customWidth="1"/>
    <col min="55" max="55" width="18" bestFit="1" customWidth="1"/>
    <col min="56" max="56" width="19.6640625" bestFit="1" customWidth="1"/>
    <col min="57" max="57" width="20.44140625" bestFit="1" customWidth="1"/>
    <col min="58" max="58" width="19.109375" bestFit="1" customWidth="1"/>
    <col min="59" max="59" width="21.109375" bestFit="1" customWidth="1"/>
    <col min="60" max="60" width="19.109375" bestFit="1" customWidth="1"/>
    <col min="61" max="61" width="28.33203125" bestFit="1" customWidth="1"/>
    <col min="62" max="62" width="22.44140625" bestFit="1" customWidth="1"/>
    <col min="63" max="63" width="26.109375" bestFit="1" customWidth="1"/>
    <col min="64" max="64" width="22.6640625" bestFit="1" customWidth="1"/>
    <col min="65" max="65" width="25" bestFit="1" customWidth="1"/>
    <col min="66" max="66" width="21.109375" bestFit="1" customWidth="1"/>
    <col min="67" max="67" width="26.21875" bestFit="1" customWidth="1"/>
    <col min="68" max="68" width="22.6640625" bestFit="1" customWidth="1"/>
    <col min="69" max="69" width="23.88671875" bestFit="1" customWidth="1"/>
    <col min="70" max="70" width="26.21875" bestFit="1" customWidth="1"/>
    <col min="71" max="71" width="36.5546875" bestFit="1" customWidth="1"/>
    <col min="72" max="72" width="35.6640625" bestFit="1" customWidth="1"/>
    <col min="73" max="73" width="25.109375" bestFit="1" customWidth="1"/>
    <col min="74" max="74" width="9.88671875" bestFit="1" customWidth="1"/>
    <col min="75" max="75" width="8.5546875" bestFit="1" customWidth="1"/>
    <col min="76" max="76" width="10" bestFit="1" customWidth="1"/>
    <col min="77" max="77" width="7.44140625" bestFit="1" customWidth="1"/>
    <col min="78" max="78" width="6.109375" bestFit="1" customWidth="1"/>
    <col min="79" max="79" width="9.88671875" bestFit="1" customWidth="1"/>
    <col min="80" max="80" width="6.88671875" bestFit="1" customWidth="1"/>
    <col min="81" max="81" width="12.109375" bestFit="1" customWidth="1"/>
    <col min="82" max="82" width="8" bestFit="1" customWidth="1"/>
    <col min="83" max="83" width="6.6640625" bestFit="1" customWidth="1"/>
    <col min="84" max="84" width="8.21875" bestFit="1" customWidth="1"/>
    <col min="85" max="86" width="7.6640625" bestFit="1" customWidth="1"/>
    <col min="87" max="87" width="14.109375" bestFit="1" customWidth="1"/>
    <col min="88" max="88" width="16.21875" bestFit="1" customWidth="1"/>
    <col min="89" max="90" width="7.109375" bestFit="1" customWidth="1"/>
    <col min="91" max="91" width="6.5546875" bestFit="1" customWidth="1"/>
    <col min="92" max="92" width="8.44140625" bestFit="1" customWidth="1"/>
    <col min="93" max="93" width="8.5546875" bestFit="1" customWidth="1"/>
    <col min="94" max="94" width="10" bestFit="1" customWidth="1"/>
    <col min="95" max="95" width="15.21875" bestFit="1" customWidth="1"/>
    <col min="96" max="96" width="13.77734375" bestFit="1" customWidth="1"/>
    <col min="97" max="97" width="12.88671875" bestFit="1" customWidth="1"/>
  </cols>
  <sheetData>
    <row r="1" spans="1:7" x14ac:dyDescent="0.3">
      <c r="D1" s="4"/>
      <c r="E1" s="4"/>
      <c r="F1" s="4"/>
      <c r="G1" s="47"/>
    </row>
    <row r="2" spans="1:7" x14ac:dyDescent="0.3">
      <c r="B2" s="2" t="s">
        <v>0</v>
      </c>
      <c r="D2" s="4" t="s">
        <v>533</v>
      </c>
      <c r="E2" s="7" t="s">
        <v>2</v>
      </c>
      <c r="F2" s="7" t="s">
        <v>3</v>
      </c>
      <c r="G2" s="78" t="s">
        <v>4</v>
      </c>
    </row>
    <row r="3" spans="1:7" x14ac:dyDescent="0.3">
      <c r="A3" s="3" t="s">
        <v>534</v>
      </c>
      <c r="G3" s="79"/>
    </row>
    <row r="4" spans="1:7" x14ac:dyDescent="0.3">
      <c r="A4" t="s">
        <v>838</v>
      </c>
      <c r="B4" s="1">
        <v>80</v>
      </c>
      <c r="D4" s="9" t="s">
        <v>495</v>
      </c>
      <c r="E4" s="8" t="s">
        <v>838</v>
      </c>
      <c r="F4" s="9">
        <v>80</v>
      </c>
      <c r="G4" s="31">
        <v>341</v>
      </c>
    </row>
    <row r="5" spans="1:7" x14ac:dyDescent="0.3">
      <c r="A5" s="61" t="s">
        <v>350</v>
      </c>
      <c r="B5" s="69">
        <v>5.5350553505535052</v>
      </c>
      <c r="D5" s="65" t="s">
        <v>175</v>
      </c>
      <c r="E5" s="65" t="s">
        <v>176</v>
      </c>
      <c r="F5" s="69">
        <v>5.5350553505535052</v>
      </c>
      <c r="G5" s="17">
        <v>49</v>
      </c>
    </row>
    <row r="6" spans="1:7" x14ac:dyDescent="0.3">
      <c r="A6" s="61" t="s">
        <v>350</v>
      </c>
      <c r="B6" s="71">
        <v>5.5350553505535052</v>
      </c>
      <c r="D6" s="65" t="s">
        <v>45</v>
      </c>
      <c r="E6" s="65" t="s">
        <v>46</v>
      </c>
      <c r="F6" s="69">
        <v>5.5350553505535052</v>
      </c>
      <c r="G6" s="17">
        <v>899</v>
      </c>
    </row>
    <row r="7" spans="1:7" x14ac:dyDescent="0.3">
      <c r="A7" s="61" t="s">
        <v>350</v>
      </c>
      <c r="B7" s="71">
        <v>5.5350553505535052</v>
      </c>
      <c r="D7" s="65" t="s">
        <v>351</v>
      </c>
      <c r="E7" s="65" t="s">
        <v>352</v>
      </c>
      <c r="F7" s="69">
        <v>5.5350553505535052</v>
      </c>
      <c r="G7" s="17">
        <v>900</v>
      </c>
    </row>
    <row r="8" spans="1:7" x14ac:dyDescent="0.3">
      <c r="A8" s="61" t="s">
        <v>350</v>
      </c>
      <c r="B8" s="71">
        <v>3.3210332103321032</v>
      </c>
      <c r="D8" s="65" t="s">
        <v>353</v>
      </c>
      <c r="E8" s="65" t="s">
        <v>354</v>
      </c>
      <c r="F8" s="69">
        <v>3.3210332103321032</v>
      </c>
      <c r="G8" s="17">
        <v>379</v>
      </c>
    </row>
    <row r="9" spans="1:7" x14ac:dyDescent="0.3">
      <c r="A9" s="61" t="s">
        <v>350</v>
      </c>
      <c r="B9" s="71">
        <v>7.7490774907749076</v>
      </c>
      <c r="D9" s="65" t="s">
        <v>140</v>
      </c>
      <c r="E9" s="65" t="s">
        <v>141</v>
      </c>
      <c r="F9" s="69">
        <v>7.7490774907749076</v>
      </c>
      <c r="G9" s="17">
        <v>387</v>
      </c>
    </row>
    <row r="10" spans="1:7" x14ac:dyDescent="0.3">
      <c r="A10" s="61" t="s">
        <v>350</v>
      </c>
      <c r="B10" s="71">
        <v>1.6605166051660516</v>
      </c>
      <c r="D10" s="65" t="s">
        <v>355</v>
      </c>
      <c r="E10" s="65" t="s">
        <v>356</v>
      </c>
      <c r="F10" s="69">
        <v>1.6605166051660516</v>
      </c>
      <c r="G10" s="17">
        <v>604</v>
      </c>
    </row>
    <row r="11" spans="1:7" x14ac:dyDescent="0.3">
      <c r="A11" s="61" t="s">
        <v>350</v>
      </c>
      <c r="B11" s="71">
        <v>0.66420664206642066</v>
      </c>
      <c r="D11" s="65" t="s">
        <v>89</v>
      </c>
      <c r="E11" s="65" t="s">
        <v>90</v>
      </c>
      <c r="F11" s="69">
        <v>0.66420664206642066</v>
      </c>
      <c r="G11" s="17">
        <v>45</v>
      </c>
    </row>
    <row r="12" spans="1:7" x14ac:dyDescent="0.3">
      <c r="A12" t="s">
        <v>71</v>
      </c>
      <c r="B12" s="1">
        <v>0.1</v>
      </c>
      <c r="D12" s="9" t="s">
        <v>72</v>
      </c>
      <c r="E12" s="8" t="s">
        <v>73</v>
      </c>
      <c r="F12" s="9">
        <v>0.1</v>
      </c>
      <c r="G12" s="31">
        <v>270</v>
      </c>
    </row>
    <row r="13" spans="1:7" x14ac:dyDescent="0.3">
      <c r="A13" s="3" t="s">
        <v>10</v>
      </c>
      <c r="B13" s="1">
        <v>110.1</v>
      </c>
      <c r="E13" s="10" t="s">
        <v>11</v>
      </c>
      <c r="F13" s="12">
        <f>SUM(F4:F12)</f>
        <v>110.1</v>
      </c>
      <c r="G13" s="80">
        <f>(G4*$F4+F5+G5+F6*G6+F7*G7+F8*G8+F9*G9+F10*G10+F11*G11+G12*$F12)/$F13</f>
        <v>387.00731639468978</v>
      </c>
    </row>
    <row r="14" spans="1:7" x14ac:dyDescent="0.3">
      <c r="A14" s="3" t="s">
        <v>12</v>
      </c>
      <c r="B14" s="1">
        <v>100</v>
      </c>
      <c r="E14" s="14"/>
      <c r="F14" s="15"/>
      <c r="G14" s="81"/>
    </row>
    <row r="15" spans="1:7" x14ac:dyDescent="0.3">
      <c r="E15" s="17"/>
      <c r="F15" s="1"/>
      <c r="G15" s="79"/>
    </row>
    <row r="16" spans="1:7" x14ac:dyDescent="0.3">
      <c r="E16" s="17"/>
      <c r="F16" s="1"/>
      <c r="G16" s="82"/>
    </row>
    <row r="17" spans="1:14" x14ac:dyDescent="0.3">
      <c r="A17" s="3" t="s">
        <v>535</v>
      </c>
    </row>
    <row r="18" spans="1:14" x14ac:dyDescent="0.3">
      <c r="A18" t="s">
        <v>838</v>
      </c>
      <c r="B18" s="1">
        <v>80</v>
      </c>
      <c r="D18" s="9" t="s">
        <v>495</v>
      </c>
      <c r="E18" s="8" t="s">
        <v>838</v>
      </c>
      <c r="F18" s="9">
        <v>80</v>
      </c>
      <c r="G18" s="31">
        <v>362</v>
      </c>
    </row>
    <row r="19" spans="1:14" x14ac:dyDescent="0.3">
      <c r="A19" t="s">
        <v>44</v>
      </c>
      <c r="B19" s="1">
        <v>10</v>
      </c>
      <c r="D19" s="9" t="s">
        <v>45</v>
      </c>
      <c r="E19" s="8" t="s">
        <v>46</v>
      </c>
      <c r="F19" s="9">
        <v>10</v>
      </c>
      <c r="G19" s="31">
        <v>899</v>
      </c>
    </row>
    <row r="20" spans="1:14" x14ac:dyDescent="0.3">
      <c r="A20" t="s">
        <v>126</v>
      </c>
      <c r="B20" s="1">
        <v>15</v>
      </c>
      <c r="D20" s="9" t="s">
        <v>127</v>
      </c>
      <c r="E20" s="8" t="s">
        <v>128</v>
      </c>
      <c r="F20" s="9">
        <v>15</v>
      </c>
      <c r="G20" s="31">
        <v>28</v>
      </c>
    </row>
    <row r="21" spans="1:14" x14ac:dyDescent="0.3">
      <c r="A21" t="s">
        <v>825</v>
      </c>
      <c r="B21" s="1">
        <v>65</v>
      </c>
      <c r="D21" s="65" t="s">
        <v>213</v>
      </c>
      <c r="E21" s="8" t="s">
        <v>825</v>
      </c>
      <c r="F21" s="9">
        <v>65</v>
      </c>
      <c r="G21" s="83">
        <v>100</v>
      </c>
      <c r="N21" s="69"/>
    </row>
    <row r="22" spans="1:14" x14ac:dyDescent="0.3">
      <c r="A22" t="s">
        <v>139</v>
      </c>
      <c r="B22" s="1">
        <v>5</v>
      </c>
      <c r="D22" s="9" t="s">
        <v>140</v>
      </c>
      <c r="E22" s="8" t="s">
        <v>141</v>
      </c>
      <c r="F22" s="9">
        <v>5</v>
      </c>
      <c r="G22" s="31">
        <v>387</v>
      </c>
    </row>
    <row r="23" spans="1:14" x14ac:dyDescent="0.3">
      <c r="A23" t="s">
        <v>24</v>
      </c>
      <c r="B23" s="1">
        <v>0.3</v>
      </c>
      <c r="D23" s="9" t="s">
        <v>25</v>
      </c>
      <c r="E23" s="8" t="s">
        <v>26</v>
      </c>
      <c r="F23" s="9">
        <v>0.3</v>
      </c>
      <c r="G23" s="31">
        <v>0</v>
      </c>
    </row>
    <row r="24" spans="1:14" x14ac:dyDescent="0.3">
      <c r="A24" s="3" t="s">
        <v>10</v>
      </c>
      <c r="B24" s="1">
        <v>175.3</v>
      </c>
      <c r="E24" s="10" t="s">
        <v>11</v>
      </c>
      <c r="F24" s="12">
        <f>SUM(F18:F23)</f>
        <v>175.3</v>
      </c>
      <c r="G24" s="84">
        <f>($F18*G18+$F19*G19+G20*$F20+G21*$F21+G22*$F22+G23*$F23)/$F24</f>
        <v>266.99942954934397</v>
      </c>
    </row>
    <row r="25" spans="1:14" x14ac:dyDescent="0.3">
      <c r="A25" s="3" t="s">
        <v>12</v>
      </c>
      <c r="B25" s="1" t="s">
        <v>13</v>
      </c>
      <c r="E25" s="14"/>
      <c r="F25" s="15"/>
      <c r="G25" s="81"/>
    </row>
    <row r="26" spans="1:14" x14ac:dyDescent="0.3">
      <c r="E26" s="17"/>
      <c r="F26" s="1"/>
      <c r="G26" s="79"/>
    </row>
    <row r="27" spans="1:14" x14ac:dyDescent="0.3">
      <c r="E27" s="17"/>
      <c r="F27" s="1"/>
      <c r="G27" s="82"/>
    </row>
    <row r="28" spans="1:14" x14ac:dyDescent="0.3">
      <c r="A28" s="3" t="s">
        <v>536</v>
      </c>
    </row>
    <row r="29" spans="1:14" x14ac:dyDescent="0.3">
      <c r="A29" t="s">
        <v>838</v>
      </c>
      <c r="B29" s="1">
        <v>80</v>
      </c>
      <c r="D29" s="9" t="s">
        <v>495</v>
      </c>
      <c r="E29" s="8" t="s">
        <v>838</v>
      </c>
      <c r="F29" s="9">
        <v>80</v>
      </c>
      <c r="G29" s="31">
        <v>341</v>
      </c>
    </row>
    <row r="30" spans="1:14" x14ac:dyDescent="0.3">
      <c r="A30" t="s">
        <v>359</v>
      </c>
      <c r="B30" s="1">
        <v>50</v>
      </c>
      <c r="D30" s="9" t="s">
        <v>360</v>
      </c>
      <c r="E30" s="8" t="s">
        <v>361</v>
      </c>
      <c r="F30" s="9">
        <v>50</v>
      </c>
      <c r="G30" s="31">
        <v>155</v>
      </c>
    </row>
    <row r="31" spans="1:14" x14ac:dyDescent="0.3">
      <c r="A31" t="s">
        <v>123</v>
      </c>
      <c r="B31" s="1">
        <v>15</v>
      </c>
      <c r="D31" s="9" t="s">
        <v>124</v>
      </c>
      <c r="E31" s="8" t="s">
        <v>125</v>
      </c>
      <c r="F31" s="9">
        <v>15</v>
      </c>
      <c r="G31" s="31">
        <v>39</v>
      </c>
    </row>
    <row r="32" spans="1:14" x14ac:dyDescent="0.3">
      <c r="A32" t="s">
        <v>126</v>
      </c>
      <c r="B32" s="1">
        <v>15</v>
      </c>
      <c r="D32" s="9" t="s">
        <v>127</v>
      </c>
      <c r="E32" s="8" t="s">
        <v>128</v>
      </c>
      <c r="F32" s="9">
        <v>15</v>
      </c>
      <c r="G32" s="31">
        <v>28</v>
      </c>
    </row>
    <row r="33" spans="1:7" x14ac:dyDescent="0.3">
      <c r="A33" t="s">
        <v>129</v>
      </c>
      <c r="B33" s="1">
        <v>15</v>
      </c>
      <c r="D33" s="9" t="s">
        <v>130</v>
      </c>
      <c r="E33" s="8" t="s">
        <v>131</v>
      </c>
      <c r="F33" s="9">
        <v>15</v>
      </c>
      <c r="G33" s="31">
        <v>23</v>
      </c>
    </row>
    <row r="34" spans="1:7" x14ac:dyDescent="0.3">
      <c r="A34" t="s">
        <v>44</v>
      </c>
      <c r="B34" s="1">
        <v>10</v>
      </c>
      <c r="D34" s="9" t="s">
        <v>45</v>
      </c>
      <c r="E34" s="8" t="s">
        <v>46</v>
      </c>
      <c r="F34" s="9">
        <v>10</v>
      </c>
      <c r="G34" s="31">
        <v>899</v>
      </c>
    </row>
    <row r="35" spans="1:7" x14ac:dyDescent="0.3">
      <c r="A35" t="s">
        <v>825</v>
      </c>
      <c r="B35" s="1">
        <v>60</v>
      </c>
      <c r="D35" s="65" t="s">
        <v>213</v>
      </c>
      <c r="E35" s="8" t="s">
        <v>825</v>
      </c>
      <c r="F35" s="9">
        <v>60</v>
      </c>
      <c r="G35" s="83">
        <v>100</v>
      </c>
    </row>
    <row r="36" spans="1:7" x14ac:dyDescent="0.3">
      <c r="A36" t="s">
        <v>139</v>
      </c>
      <c r="B36" s="1">
        <v>5</v>
      </c>
      <c r="D36" s="9" t="s">
        <v>140</v>
      </c>
      <c r="E36" s="8" t="s">
        <v>141</v>
      </c>
      <c r="F36" s="9">
        <v>5</v>
      </c>
      <c r="G36" s="31">
        <v>387</v>
      </c>
    </row>
    <row r="37" spans="1:7" x14ac:dyDescent="0.3">
      <c r="A37" t="s">
        <v>71</v>
      </c>
      <c r="B37" s="1">
        <v>0.1</v>
      </c>
      <c r="D37" s="9" t="s">
        <v>72</v>
      </c>
      <c r="E37" s="8" t="s">
        <v>73</v>
      </c>
      <c r="F37" s="9">
        <v>0.1</v>
      </c>
      <c r="G37" s="31">
        <v>270</v>
      </c>
    </row>
    <row r="38" spans="1:7" x14ac:dyDescent="0.3">
      <c r="A38" t="s">
        <v>24</v>
      </c>
      <c r="B38" s="1">
        <v>0.3</v>
      </c>
      <c r="D38" s="9" t="s">
        <v>25</v>
      </c>
      <c r="E38" s="8" t="s">
        <v>26</v>
      </c>
      <c r="F38" s="9">
        <v>0.3</v>
      </c>
      <c r="G38" s="31">
        <v>0</v>
      </c>
    </row>
    <row r="39" spans="1:7" x14ac:dyDescent="0.3">
      <c r="A39" s="3" t="s">
        <v>10</v>
      </c>
      <c r="B39" s="1">
        <v>250.4</v>
      </c>
      <c r="E39" s="10" t="s">
        <v>11</v>
      </c>
      <c r="F39" s="12">
        <f>SUM(F29:F38)</f>
        <v>250.4</v>
      </c>
      <c r="G39" s="84">
        <f>($F29*G29+$F30*G30+$F31*G31+$F32*G32+$F33*G33+$F34*G34+G35*$F35+G36*$F36+G37*$F37+G38*$F38)/$F39</f>
        <v>212.98722044728433</v>
      </c>
    </row>
    <row r="40" spans="1:7" x14ac:dyDescent="0.3">
      <c r="A40" s="3" t="s">
        <v>12</v>
      </c>
      <c r="B40" s="1" t="s">
        <v>13</v>
      </c>
      <c r="E40" s="14"/>
      <c r="F40" s="15"/>
      <c r="G40" s="81"/>
    </row>
    <row r="41" spans="1:7" x14ac:dyDescent="0.3">
      <c r="E41" s="17"/>
      <c r="F41" s="1"/>
      <c r="G41" s="79"/>
    </row>
    <row r="42" spans="1:7" x14ac:dyDescent="0.3">
      <c r="E42" s="17"/>
      <c r="F42" s="1"/>
      <c r="G42" s="82"/>
    </row>
    <row r="43" spans="1:7" x14ac:dyDescent="0.3">
      <c r="A43" s="3" t="s">
        <v>537</v>
      </c>
    </row>
    <row r="44" spans="1:7" x14ac:dyDescent="0.3">
      <c r="A44" t="s">
        <v>838</v>
      </c>
      <c r="B44" s="1">
        <v>80</v>
      </c>
      <c r="D44" s="9" t="s">
        <v>495</v>
      </c>
      <c r="E44" s="8" t="s">
        <v>838</v>
      </c>
      <c r="F44" s="9">
        <v>80</v>
      </c>
      <c r="G44" s="31">
        <v>341</v>
      </c>
    </row>
    <row r="45" spans="1:7" x14ac:dyDescent="0.3">
      <c r="A45" t="s">
        <v>44</v>
      </c>
      <c r="B45" s="1">
        <v>10</v>
      </c>
      <c r="D45" s="9" t="s">
        <v>45</v>
      </c>
      <c r="E45" s="8" t="s">
        <v>46</v>
      </c>
      <c r="F45" s="9">
        <v>10</v>
      </c>
      <c r="G45" s="31">
        <v>899</v>
      </c>
    </row>
    <row r="46" spans="1:7" x14ac:dyDescent="0.3">
      <c r="A46" t="s">
        <v>126</v>
      </c>
      <c r="B46" s="1">
        <v>15</v>
      </c>
      <c r="D46" s="9" t="s">
        <v>127</v>
      </c>
      <c r="E46" s="8" t="s">
        <v>128</v>
      </c>
      <c r="F46" s="9">
        <v>15</v>
      </c>
      <c r="G46" s="31">
        <v>28</v>
      </c>
    </row>
    <row r="47" spans="1:7" x14ac:dyDescent="0.3">
      <c r="A47" t="s">
        <v>839</v>
      </c>
      <c r="B47" s="1">
        <v>60</v>
      </c>
      <c r="D47" s="9" t="s">
        <v>410</v>
      </c>
      <c r="E47" s="8" t="s">
        <v>839</v>
      </c>
      <c r="F47" s="9">
        <v>60</v>
      </c>
      <c r="G47" s="31">
        <v>192</v>
      </c>
    </row>
    <row r="48" spans="1:7" x14ac:dyDescent="0.3">
      <c r="A48" t="s">
        <v>825</v>
      </c>
      <c r="B48" s="1">
        <v>65</v>
      </c>
      <c r="D48" s="65" t="s">
        <v>213</v>
      </c>
      <c r="E48" s="8" t="s">
        <v>825</v>
      </c>
      <c r="F48" s="9">
        <v>65</v>
      </c>
      <c r="G48" s="83">
        <v>100</v>
      </c>
    </row>
    <row r="49" spans="1:7" x14ac:dyDescent="0.3">
      <c r="A49" t="s">
        <v>24</v>
      </c>
      <c r="B49" s="1">
        <v>0.3</v>
      </c>
      <c r="D49" s="9" t="s">
        <v>25</v>
      </c>
      <c r="E49" s="8" t="s">
        <v>26</v>
      </c>
      <c r="F49" s="9">
        <v>0.3</v>
      </c>
      <c r="G49" s="31">
        <v>0</v>
      </c>
    </row>
    <row r="50" spans="1:7" x14ac:dyDescent="0.3">
      <c r="A50" s="3" t="s">
        <v>10</v>
      </c>
      <c r="B50" s="1">
        <v>230.3</v>
      </c>
      <c r="E50" s="10" t="s">
        <v>11</v>
      </c>
      <c r="F50" s="12">
        <f>SUM(F44:F49)</f>
        <v>230.3</v>
      </c>
      <c r="G50" s="84">
        <f>($F44*G44+$F45*G45+G46*$F46+G47*$F47+G48*$F48+G49*$F49)/$F50</f>
        <v>237.55970473295699</v>
      </c>
    </row>
    <row r="51" spans="1:7" x14ac:dyDescent="0.3">
      <c r="A51" s="3" t="s">
        <v>12</v>
      </c>
      <c r="B51" s="1" t="s">
        <v>13</v>
      </c>
      <c r="E51" s="14"/>
      <c r="F51" s="15"/>
      <c r="G51" s="81"/>
    </row>
    <row r="52" spans="1:7" x14ac:dyDescent="0.3">
      <c r="E52" s="17"/>
      <c r="F52" s="1"/>
      <c r="G52" s="79"/>
    </row>
    <row r="53" spans="1:7" x14ac:dyDescent="0.3">
      <c r="E53" s="17"/>
      <c r="F53" s="1"/>
      <c r="G53" s="82"/>
    </row>
    <row r="54" spans="1:7" x14ac:dyDescent="0.3">
      <c r="A54" s="3" t="s">
        <v>538</v>
      </c>
    </row>
    <row r="55" spans="1:7" x14ac:dyDescent="0.3">
      <c r="A55" t="s">
        <v>838</v>
      </c>
      <c r="B55" s="1">
        <v>80</v>
      </c>
      <c r="D55" s="9" t="s">
        <v>495</v>
      </c>
      <c r="E55" s="8" t="s">
        <v>838</v>
      </c>
      <c r="F55" s="9">
        <v>80</v>
      </c>
      <c r="G55" s="31">
        <v>341</v>
      </c>
    </row>
    <row r="56" spans="1:7" x14ac:dyDescent="0.3">
      <c r="A56" t="s">
        <v>44</v>
      </c>
      <c r="B56" s="1">
        <v>10</v>
      </c>
      <c r="D56" s="9" t="s">
        <v>45</v>
      </c>
      <c r="E56" s="8" t="s">
        <v>46</v>
      </c>
      <c r="F56" s="9">
        <v>10</v>
      </c>
      <c r="G56" s="31">
        <v>899</v>
      </c>
    </row>
    <row r="57" spans="1:7" x14ac:dyDescent="0.3">
      <c r="A57" t="s">
        <v>126</v>
      </c>
      <c r="B57" s="1">
        <v>10</v>
      </c>
      <c r="D57" s="9" t="s">
        <v>127</v>
      </c>
      <c r="E57" s="8" t="s">
        <v>128</v>
      </c>
      <c r="F57" s="9">
        <v>10</v>
      </c>
      <c r="G57" s="31">
        <v>28</v>
      </c>
    </row>
    <row r="58" spans="1:7" x14ac:dyDescent="0.3">
      <c r="A58" t="s">
        <v>840</v>
      </c>
      <c r="B58" s="1">
        <v>80</v>
      </c>
      <c r="D58" s="9" t="s">
        <v>308</v>
      </c>
      <c r="E58" s="8" t="s">
        <v>840</v>
      </c>
      <c r="F58" s="9">
        <v>80</v>
      </c>
      <c r="G58" s="31">
        <v>21</v>
      </c>
    </row>
    <row r="59" spans="1:7" x14ac:dyDescent="0.3">
      <c r="A59" t="s">
        <v>88</v>
      </c>
      <c r="B59" s="1">
        <v>5</v>
      </c>
      <c r="D59" s="9" t="s">
        <v>89</v>
      </c>
      <c r="E59" s="8" t="s">
        <v>90</v>
      </c>
      <c r="F59" s="9">
        <v>5</v>
      </c>
      <c r="G59" s="31">
        <v>45</v>
      </c>
    </row>
    <row r="60" spans="1:7" x14ac:dyDescent="0.3">
      <c r="A60" t="s">
        <v>841</v>
      </c>
      <c r="B60" s="1">
        <v>0.5</v>
      </c>
      <c r="D60" s="9" t="s">
        <v>457</v>
      </c>
      <c r="E60" s="8" t="s">
        <v>841</v>
      </c>
      <c r="F60" s="9">
        <v>0.5</v>
      </c>
      <c r="G60" s="31">
        <v>30</v>
      </c>
    </row>
    <row r="61" spans="1:7" x14ac:dyDescent="0.3">
      <c r="A61" t="s">
        <v>24</v>
      </c>
      <c r="B61" s="1">
        <v>0.3</v>
      </c>
      <c r="D61" s="9" t="s">
        <v>25</v>
      </c>
      <c r="E61" s="8" t="s">
        <v>26</v>
      </c>
      <c r="F61" s="9">
        <v>0.3</v>
      </c>
      <c r="G61" s="31">
        <v>0</v>
      </c>
    </row>
    <row r="62" spans="1:7" x14ac:dyDescent="0.3">
      <c r="A62" s="3" t="s">
        <v>10</v>
      </c>
      <c r="B62" s="1">
        <v>185.8</v>
      </c>
      <c r="E62" s="10" t="s">
        <v>11</v>
      </c>
      <c r="F62" s="12">
        <f>SUM(F55:F61)</f>
        <v>185.8</v>
      </c>
      <c r="G62" s="84">
        <f>($F55*G55+$F56*G56+$F57*G57+G58*$F58+G59*$F59+G60*$F60+G61*$F61)/$F62</f>
        <v>207.05059203444563</v>
      </c>
    </row>
    <row r="63" spans="1:7" x14ac:dyDescent="0.3">
      <c r="A63" s="3" t="s">
        <v>12</v>
      </c>
      <c r="B63" s="1" t="s">
        <v>13</v>
      </c>
      <c r="E63" s="14"/>
      <c r="F63" s="15"/>
      <c r="G63" s="81"/>
    </row>
    <row r="64" spans="1:7" x14ac:dyDescent="0.3">
      <c r="E64" s="17"/>
      <c r="F64" s="1"/>
      <c r="G64" s="79"/>
    </row>
    <row r="65" spans="1:7" x14ac:dyDescent="0.3">
      <c r="E65" s="17"/>
      <c r="F65" s="1"/>
      <c r="G65" s="82"/>
    </row>
    <row r="66" spans="1:7" x14ac:dyDescent="0.3">
      <c r="A66" s="3" t="s">
        <v>539</v>
      </c>
    </row>
    <row r="67" spans="1:7" x14ac:dyDescent="0.3">
      <c r="A67" t="s">
        <v>440</v>
      </c>
      <c r="B67" s="1">
        <v>40</v>
      </c>
      <c r="D67" s="9" t="s">
        <v>441</v>
      </c>
      <c r="E67" s="8" t="s">
        <v>442</v>
      </c>
      <c r="F67" s="9">
        <v>40</v>
      </c>
      <c r="G67" s="31">
        <v>346</v>
      </c>
    </row>
    <row r="68" spans="1:7" x14ac:dyDescent="0.3">
      <c r="A68" t="s">
        <v>262</v>
      </c>
      <c r="B68" s="1">
        <v>200</v>
      </c>
      <c r="D68" s="9" t="s">
        <v>263</v>
      </c>
      <c r="E68" s="8" t="s">
        <v>264</v>
      </c>
      <c r="F68" s="9">
        <v>200</v>
      </c>
      <c r="G68" s="31">
        <v>5</v>
      </c>
    </row>
    <row r="69" spans="1:7" x14ac:dyDescent="0.3">
      <c r="A69" t="s">
        <v>139</v>
      </c>
      <c r="B69" s="1">
        <v>5</v>
      </c>
      <c r="D69" s="9" t="s">
        <v>140</v>
      </c>
      <c r="E69" s="8" t="s">
        <v>141</v>
      </c>
      <c r="F69" s="9">
        <v>5</v>
      </c>
      <c r="G69" s="31">
        <v>387</v>
      </c>
    </row>
    <row r="70" spans="1:7" x14ac:dyDescent="0.3">
      <c r="A70" s="3" t="s">
        <v>10</v>
      </c>
      <c r="B70" s="1">
        <v>245</v>
      </c>
      <c r="E70" s="10" t="s">
        <v>11</v>
      </c>
      <c r="F70" s="12">
        <f>SUM(F67:F69)</f>
        <v>245</v>
      </c>
      <c r="G70" s="84">
        <f>(G67*$F67+G68*$F68+G69*$F69)/$F70</f>
        <v>68.469387755102048</v>
      </c>
    </row>
    <row r="71" spans="1:7" x14ac:dyDescent="0.3">
      <c r="A71" s="3" t="s">
        <v>12</v>
      </c>
      <c r="B71" s="1" t="s">
        <v>13</v>
      </c>
      <c r="E71" s="14"/>
      <c r="F71" s="15"/>
      <c r="G71" s="81"/>
    </row>
    <row r="72" spans="1:7" x14ac:dyDescent="0.3">
      <c r="E72" s="17"/>
      <c r="F72" s="1"/>
      <c r="G72" s="79"/>
    </row>
    <row r="73" spans="1:7" x14ac:dyDescent="0.3">
      <c r="E73" s="17"/>
      <c r="F73" s="1"/>
      <c r="G73" s="82"/>
    </row>
    <row r="74" spans="1:7" x14ac:dyDescent="0.3">
      <c r="A74" s="3" t="s">
        <v>540</v>
      </c>
    </row>
    <row r="75" spans="1:7" x14ac:dyDescent="0.3">
      <c r="A75" t="s">
        <v>838</v>
      </c>
      <c r="B75" s="1">
        <v>80</v>
      </c>
      <c r="D75" s="9" t="s">
        <v>495</v>
      </c>
      <c r="E75" s="8" t="s">
        <v>838</v>
      </c>
      <c r="F75" s="9">
        <v>80</v>
      </c>
      <c r="G75" s="31">
        <v>341</v>
      </c>
    </row>
    <row r="76" spans="1:7" x14ac:dyDescent="0.3">
      <c r="A76" t="s">
        <v>231</v>
      </c>
      <c r="B76" s="1">
        <v>30</v>
      </c>
      <c r="D76" s="9" t="s">
        <v>232</v>
      </c>
      <c r="E76" s="8" t="s">
        <v>233</v>
      </c>
      <c r="F76" s="9">
        <v>30</v>
      </c>
      <c r="G76" s="31">
        <v>661</v>
      </c>
    </row>
    <row r="77" spans="1:7" x14ac:dyDescent="0.3">
      <c r="A77" t="s">
        <v>78</v>
      </c>
      <c r="B77" s="1">
        <v>30</v>
      </c>
      <c r="D77" s="9" t="s">
        <v>79</v>
      </c>
      <c r="E77" s="8" t="s">
        <v>80</v>
      </c>
      <c r="F77" s="9">
        <v>30</v>
      </c>
      <c r="G77" s="31">
        <v>325</v>
      </c>
    </row>
    <row r="78" spans="1:7" x14ac:dyDescent="0.3">
      <c r="A78" t="s">
        <v>541</v>
      </c>
      <c r="B78" s="1">
        <v>10</v>
      </c>
      <c r="D78" s="9" t="s">
        <v>542</v>
      </c>
      <c r="E78" s="8" t="s">
        <v>543</v>
      </c>
      <c r="F78" s="9">
        <v>10</v>
      </c>
      <c r="G78" s="31">
        <v>392</v>
      </c>
    </row>
    <row r="79" spans="1:7" x14ac:dyDescent="0.3">
      <c r="A79" t="s">
        <v>71</v>
      </c>
      <c r="B79" s="1">
        <v>0.1</v>
      </c>
      <c r="D79" s="9" t="s">
        <v>72</v>
      </c>
      <c r="E79" s="8" t="s">
        <v>73</v>
      </c>
      <c r="F79" s="9">
        <v>0.1</v>
      </c>
      <c r="G79" s="31">
        <v>270</v>
      </c>
    </row>
    <row r="80" spans="1:7" x14ac:dyDescent="0.3">
      <c r="A80" t="s">
        <v>24</v>
      </c>
      <c r="B80" s="1">
        <v>0.3</v>
      </c>
      <c r="D80" s="9" t="s">
        <v>25</v>
      </c>
      <c r="E80" s="8" t="s">
        <v>26</v>
      </c>
      <c r="F80" s="9">
        <v>0.3</v>
      </c>
      <c r="G80" s="31">
        <v>0</v>
      </c>
    </row>
    <row r="81" spans="1:7" x14ac:dyDescent="0.3">
      <c r="A81" s="3" t="s">
        <v>10</v>
      </c>
      <c r="B81" s="1">
        <v>150.4</v>
      </c>
      <c r="E81" s="10" t="s">
        <v>11</v>
      </c>
      <c r="F81" s="12">
        <f>SUM(F75:F80)</f>
        <v>150.4</v>
      </c>
      <c r="G81" s="84">
        <f>($F75*G75+$F76*G76+G77*$F77+G78*$F78+G79*$F79+G80*$F80)/$F81</f>
        <v>404.30186170212767</v>
      </c>
    </row>
    <row r="82" spans="1:7" x14ac:dyDescent="0.3">
      <c r="A82" s="3" t="s">
        <v>12</v>
      </c>
      <c r="B82" s="1" t="s">
        <v>13</v>
      </c>
      <c r="E82" s="14"/>
      <c r="F82" s="15"/>
      <c r="G82" s="81"/>
    </row>
    <row r="83" spans="1:7" x14ac:dyDescent="0.3">
      <c r="E83" s="17"/>
      <c r="F83" s="1"/>
      <c r="G83" s="79"/>
    </row>
    <row r="84" spans="1:7" x14ac:dyDescent="0.3">
      <c r="E84" s="17"/>
      <c r="F84" s="1"/>
      <c r="G84" s="82"/>
    </row>
    <row r="85" spans="1:7" x14ac:dyDescent="0.3">
      <c r="A85" s="3" t="s">
        <v>544</v>
      </c>
    </row>
    <row r="86" spans="1:7" x14ac:dyDescent="0.3">
      <c r="A86" t="s">
        <v>838</v>
      </c>
      <c r="B86" s="1">
        <v>80</v>
      </c>
      <c r="D86" s="9" t="s">
        <v>495</v>
      </c>
      <c r="E86" s="8" t="s">
        <v>838</v>
      </c>
      <c r="F86" s="9">
        <v>80</v>
      </c>
      <c r="G86" s="31">
        <v>341</v>
      </c>
    </row>
    <row r="87" spans="1:7" x14ac:dyDescent="0.3">
      <c r="A87" t="s">
        <v>840</v>
      </c>
      <c r="B87" s="1">
        <v>150</v>
      </c>
      <c r="D87" s="9" t="s">
        <v>308</v>
      </c>
      <c r="E87" s="8" t="s">
        <v>840</v>
      </c>
      <c r="F87" s="9">
        <v>150</v>
      </c>
      <c r="G87" s="31">
        <v>21</v>
      </c>
    </row>
    <row r="88" spans="1:7" x14ac:dyDescent="0.3">
      <c r="A88" t="s">
        <v>44</v>
      </c>
      <c r="B88" s="1">
        <v>20</v>
      </c>
      <c r="D88" s="9" t="s">
        <v>45</v>
      </c>
      <c r="E88" s="8" t="s">
        <v>46</v>
      </c>
      <c r="F88" s="9">
        <v>20</v>
      </c>
      <c r="G88" s="31">
        <v>899</v>
      </c>
    </row>
    <row r="89" spans="1:7" x14ac:dyDescent="0.3">
      <c r="A89" t="s">
        <v>371</v>
      </c>
      <c r="B89" s="1">
        <v>150</v>
      </c>
      <c r="D89" s="9" t="s">
        <v>372</v>
      </c>
      <c r="E89" s="8" t="s">
        <v>373</v>
      </c>
      <c r="F89" s="9">
        <v>150</v>
      </c>
      <c r="G89" s="31">
        <v>20</v>
      </c>
    </row>
    <row r="90" spans="1:7" x14ac:dyDescent="0.3">
      <c r="A90" t="s">
        <v>545</v>
      </c>
      <c r="B90" s="1">
        <v>20</v>
      </c>
      <c r="D90" s="65" t="s">
        <v>546</v>
      </c>
      <c r="E90" s="8" t="s">
        <v>842</v>
      </c>
      <c r="F90" s="9">
        <v>20</v>
      </c>
      <c r="G90" s="85">
        <v>146</v>
      </c>
    </row>
    <row r="91" spans="1:7" x14ac:dyDescent="0.3">
      <c r="A91" t="s">
        <v>88</v>
      </c>
      <c r="B91" s="1">
        <v>2</v>
      </c>
      <c r="D91" s="9" t="s">
        <v>89</v>
      </c>
      <c r="E91" s="8" t="s">
        <v>90</v>
      </c>
      <c r="F91" s="9">
        <v>2</v>
      </c>
      <c r="G91" s="31">
        <v>45</v>
      </c>
    </row>
    <row r="92" spans="1:7" x14ac:dyDescent="0.3">
      <c r="A92" t="s">
        <v>174</v>
      </c>
      <c r="B92" s="1">
        <v>2</v>
      </c>
      <c r="D92" s="9" t="s">
        <v>175</v>
      </c>
      <c r="E92" s="8" t="s">
        <v>176</v>
      </c>
      <c r="F92" s="9">
        <v>2</v>
      </c>
      <c r="G92" s="31">
        <v>49</v>
      </c>
    </row>
    <row r="93" spans="1:7" x14ac:dyDescent="0.3">
      <c r="A93" t="s">
        <v>24</v>
      </c>
      <c r="B93" s="1">
        <v>0.3</v>
      </c>
      <c r="D93" s="9" t="s">
        <v>25</v>
      </c>
      <c r="E93" s="8" t="s">
        <v>26</v>
      </c>
      <c r="F93" s="9">
        <v>0.3</v>
      </c>
      <c r="G93" s="31">
        <v>0</v>
      </c>
    </row>
    <row r="94" spans="1:7" x14ac:dyDescent="0.3">
      <c r="A94" s="3" t="s">
        <v>10</v>
      </c>
      <c r="B94" s="1">
        <v>424.3</v>
      </c>
      <c r="E94" s="10" t="s">
        <v>11</v>
      </c>
      <c r="F94" s="12">
        <f>SUM(F86:F93)</f>
        <v>424.3</v>
      </c>
      <c r="G94" s="84">
        <f>($F86*G86+$F87*G87+$F88*G88+$F89*G89+G90*$F90+G91*$F91+G92*$F92+G93*$F93)/$F94</f>
        <v>128.4892764553382</v>
      </c>
    </row>
    <row r="95" spans="1:7" x14ac:dyDescent="0.3">
      <c r="A95" s="3" t="s">
        <v>12</v>
      </c>
      <c r="B95" s="1" t="s">
        <v>13</v>
      </c>
      <c r="E95" s="14"/>
      <c r="F95" s="15"/>
      <c r="G95" s="81"/>
    </row>
    <row r="96" spans="1:7" x14ac:dyDescent="0.3">
      <c r="E96" s="17"/>
      <c r="F96" s="1"/>
      <c r="G96" s="79"/>
    </row>
    <row r="97" spans="1:7" x14ac:dyDescent="0.3">
      <c r="E97" s="17"/>
      <c r="F97" s="1"/>
      <c r="G97" s="82"/>
    </row>
    <row r="98" spans="1:7" x14ac:dyDescent="0.3">
      <c r="A98" s="3" t="s">
        <v>547</v>
      </c>
    </row>
    <row r="99" spans="1:7" x14ac:dyDescent="0.3">
      <c r="A99" t="s">
        <v>838</v>
      </c>
      <c r="B99" s="1">
        <v>80</v>
      </c>
      <c r="D99" s="9" t="s">
        <v>495</v>
      </c>
      <c r="E99" s="8" t="s">
        <v>838</v>
      </c>
      <c r="F99" s="9">
        <v>80</v>
      </c>
      <c r="G99" s="31">
        <v>341</v>
      </c>
    </row>
    <row r="100" spans="1:7" x14ac:dyDescent="0.3">
      <c r="A100" s="61" t="s">
        <v>548</v>
      </c>
      <c r="B100" s="9">
        <v>53</v>
      </c>
      <c r="D100" s="65" t="s">
        <v>433</v>
      </c>
      <c r="E100" s="42" t="s">
        <v>434</v>
      </c>
      <c r="F100" s="9">
        <v>53</v>
      </c>
      <c r="G100" s="31">
        <v>35</v>
      </c>
    </row>
    <row r="101" spans="1:7" x14ac:dyDescent="0.3">
      <c r="A101" s="61" t="s">
        <v>548</v>
      </c>
      <c r="B101" s="9">
        <v>53</v>
      </c>
      <c r="D101" s="65" t="s">
        <v>247</v>
      </c>
      <c r="E101" s="42" t="s">
        <v>248</v>
      </c>
      <c r="F101" s="9">
        <v>53</v>
      </c>
      <c r="G101" s="31">
        <v>19</v>
      </c>
    </row>
    <row r="102" spans="1:7" x14ac:dyDescent="0.3">
      <c r="A102" s="61" t="s">
        <v>548</v>
      </c>
      <c r="B102" s="9">
        <v>54</v>
      </c>
      <c r="D102" s="65" t="s">
        <v>216</v>
      </c>
      <c r="E102" s="8" t="s">
        <v>217</v>
      </c>
      <c r="F102" s="9">
        <v>54</v>
      </c>
      <c r="G102" s="31">
        <v>30</v>
      </c>
    </row>
    <row r="103" spans="1:7" x14ac:dyDescent="0.3">
      <c r="A103" t="s">
        <v>44</v>
      </c>
      <c r="B103" s="1">
        <v>10</v>
      </c>
      <c r="D103" s="9" t="s">
        <v>45</v>
      </c>
      <c r="E103" s="8" t="s">
        <v>46</v>
      </c>
      <c r="F103" s="9">
        <v>10</v>
      </c>
      <c r="G103" s="31">
        <v>899</v>
      </c>
    </row>
    <row r="104" spans="1:7" x14ac:dyDescent="0.3">
      <c r="A104" t="s">
        <v>71</v>
      </c>
      <c r="B104" s="1">
        <v>0.1</v>
      </c>
      <c r="D104" s="9" t="s">
        <v>72</v>
      </c>
      <c r="E104" s="8" t="s">
        <v>73</v>
      </c>
      <c r="F104" s="9">
        <v>0.1</v>
      </c>
      <c r="G104" s="31">
        <v>270</v>
      </c>
    </row>
    <row r="105" spans="1:7" x14ac:dyDescent="0.3">
      <c r="A105" t="s">
        <v>139</v>
      </c>
      <c r="B105" s="1">
        <v>5</v>
      </c>
      <c r="D105" s="9" t="s">
        <v>140</v>
      </c>
      <c r="E105" s="8" t="s">
        <v>141</v>
      </c>
      <c r="F105" s="9">
        <v>5</v>
      </c>
      <c r="G105" s="31">
        <v>387</v>
      </c>
    </row>
    <row r="106" spans="1:7" x14ac:dyDescent="0.3">
      <c r="A106" t="s">
        <v>24</v>
      </c>
      <c r="B106" s="1">
        <v>0.3</v>
      </c>
      <c r="D106" s="9" t="s">
        <v>25</v>
      </c>
      <c r="E106" s="8" t="s">
        <v>26</v>
      </c>
      <c r="F106" s="9">
        <v>0.3</v>
      </c>
      <c r="G106" s="31">
        <v>0</v>
      </c>
    </row>
    <row r="107" spans="1:7" x14ac:dyDescent="0.3">
      <c r="A107" s="3" t="s">
        <v>10</v>
      </c>
      <c r="B107" s="1">
        <v>255.4</v>
      </c>
      <c r="E107" s="10" t="s">
        <v>11</v>
      </c>
      <c r="F107" s="12">
        <f>SUM(F99:F106)</f>
        <v>255.4</v>
      </c>
      <c r="G107" s="84">
        <f>($F99*G99+$F100*G100+$F101*G101+$F102*G102+G103*$F103+G104*$F104+G105*$F105+G106*$F106)/$F107</f>
        <v>167.24353954581048</v>
      </c>
    </row>
    <row r="108" spans="1:7" x14ac:dyDescent="0.3">
      <c r="A108" s="3" t="s">
        <v>12</v>
      </c>
      <c r="B108" s="1" t="s">
        <v>13</v>
      </c>
      <c r="E108" s="14"/>
      <c r="F108" s="15"/>
      <c r="G108" s="81"/>
    </row>
    <row r="109" spans="1:7" x14ac:dyDescent="0.3">
      <c r="E109" s="17"/>
      <c r="F109" s="1"/>
      <c r="G109" s="79"/>
    </row>
    <row r="110" spans="1:7" x14ac:dyDescent="0.3">
      <c r="E110" s="17"/>
      <c r="F110" s="1"/>
      <c r="G110" s="82"/>
    </row>
    <row r="111" spans="1:7" x14ac:dyDescent="0.3">
      <c r="A111" s="3" t="s">
        <v>549</v>
      </c>
    </row>
    <row r="112" spans="1:7" x14ac:dyDescent="0.3">
      <c r="A112" t="s">
        <v>838</v>
      </c>
      <c r="B112" s="1">
        <v>80</v>
      </c>
      <c r="D112" s="9" t="s">
        <v>495</v>
      </c>
      <c r="E112" s="8" t="s">
        <v>838</v>
      </c>
      <c r="F112" s="9">
        <v>80</v>
      </c>
      <c r="G112" s="31">
        <v>341</v>
      </c>
    </row>
    <row r="113" spans="1:7" x14ac:dyDescent="0.3">
      <c r="A113" t="s">
        <v>44</v>
      </c>
      <c r="B113" s="1">
        <v>10</v>
      </c>
      <c r="D113" s="9" t="s">
        <v>45</v>
      </c>
      <c r="E113" s="8" t="s">
        <v>46</v>
      </c>
      <c r="F113" s="9">
        <v>10</v>
      </c>
      <c r="G113" s="31">
        <v>899</v>
      </c>
    </row>
    <row r="114" spans="1:7" x14ac:dyDescent="0.3">
      <c r="A114" t="s">
        <v>397</v>
      </c>
      <c r="B114" s="1">
        <v>25</v>
      </c>
      <c r="D114" s="9" t="s">
        <v>398</v>
      </c>
      <c r="E114" s="8" t="s">
        <v>399</v>
      </c>
      <c r="F114" s="9">
        <v>25</v>
      </c>
      <c r="G114" s="31">
        <v>84</v>
      </c>
    </row>
    <row r="115" spans="1:7" x14ac:dyDescent="0.3">
      <c r="A115" t="s">
        <v>400</v>
      </c>
      <c r="B115" s="1">
        <v>25</v>
      </c>
      <c r="D115" s="9" t="s">
        <v>401</v>
      </c>
      <c r="E115" s="8" t="s">
        <v>402</v>
      </c>
      <c r="F115" s="9">
        <v>25</v>
      </c>
      <c r="G115" s="31">
        <v>72</v>
      </c>
    </row>
    <row r="116" spans="1:7" x14ac:dyDescent="0.3">
      <c r="A116" t="s">
        <v>403</v>
      </c>
      <c r="B116" s="1">
        <v>25</v>
      </c>
      <c r="D116" s="9" t="s">
        <v>404</v>
      </c>
      <c r="E116" s="8" t="s">
        <v>405</v>
      </c>
      <c r="F116" s="9">
        <v>25</v>
      </c>
      <c r="G116" s="31">
        <v>72</v>
      </c>
    </row>
    <row r="117" spans="1:7" x14ac:dyDescent="0.3">
      <c r="A117" t="s">
        <v>550</v>
      </c>
      <c r="B117" s="1">
        <v>25</v>
      </c>
      <c r="D117" s="9" t="s">
        <v>388</v>
      </c>
      <c r="E117" s="8" t="s">
        <v>389</v>
      </c>
      <c r="F117" s="9">
        <v>25</v>
      </c>
      <c r="G117" s="31">
        <v>71</v>
      </c>
    </row>
    <row r="118" spans="1:7" x14ac:dyDescent="0.3">
      <c r="A118" t="s">
        <v>391</v>
      </c>
      <c r="B118" s="1">
        <v>25</v>
      </c>
      <c r="D118" s="9" t="s">
        <v>392</v>
      </c>
      <c r="E118" s="8" t="s">
        <v>393</v>
      </c>
      <c r="F118" s="9">
        <v>25</v>
      </c>
      <c r="G118" s="31">
        <v>68</v>
      </c>
    </row>
    <row r="119" spans="1:7" x14ac:dyDescent="0.3">
      <c r="A119" t="s">
        <v>88</v>
      </c>
      <c r="B119" s="1">
        <v>3</v>
      </c>
      <c r="D119" s="9" t="s">
        <v>89</v>
      </c>
      <c r="E119" s="8" t="s">
        <v>90</v>
      </c>
      <c r="F119" s="9">
        <v>3</v>
      </c>
      <c r="G119" s="31">
        <v>45</v>
      </c>
    </row>
    <row r="120" spans="1:7" x14ac:dyDescent="0.3">
      <c r="A120" t="s">
        <v>24</v>
      </c>
      <c r="B120" s="1">
        <v>0.3</v>
      </c>
      <c r="D120" s="9" t="s">
        <v>25</v>
      </c>
      <c r="E120" s="8" t="s">
        <v>26</v>
      </c>
      <c r="F120" s="9">
        <v>0.3</v>
      </c>
      <c r="G120" s="31">
        <v>0</v>
      </c>
    </row>
    <row r="121" spans="1:7" x14ac:dyDescent="0.3">
      <c r="A121" t="s">
        <v>71</v>
      </c>
      <c r="B121" s="1">
        <v>0.1</v>
      </c>
      <c r="D121" s="9" t="s">
        <v>72</v>
      </c>
      <c r="E121" s="8" t="s">
        <v>73</v>
      </c>
      <c r="F121" s="9">
        <v>0.1</v>
      </c>
      <c r="G121" s="31">
        <v>270</v>
      </c>
    </row>
    <row r="122" spans="1:7" x14ac:dyDescent="0.3">
      <c r="A122" t="s">
        <v>105</v>
      </c>
      <c r="B122" s="1">
        <v>3</v>
      </c>
      <c r="D122" s="9" t="s">
        <v>106</v>
      </c>
      <c r="E122" s="8" t="s">
        <v>107</v>
      </c>
      <c r="F122" s="9">
        <v>3</v>
      </c>
      <c r="G122" s="31">
        <v>30</v>
      </c>
    </row>
    <row r="123" spans="1:7" x14ac:dyDescent="0.3">
      <c r="A123" s="3" t="s">
        <v>10</v>
      </c>
      <c r="B123" s="1">
        <v>221.4</v>
      </c>
      <c r="E123" s="10" t="s">
        <v>11</v>
      </c>
      <c r="F123" s="12">
        <f>SUM(F112:F122)</f>
        <v>221.4</v>
      </c>
      <c r="G123" s="84">
        <f>($F112*G112+$F113*G113+$F114*G114+$F115*G115+$F116*G116+$F117*G117+$F118*G118+G119*$F119+G120*$F120+G121*$F121+G122*$F122)/$F123</f>
        <v>206.40018066847335</v>
      </c>
    </row>
    <row r="124" spans="1:7" x14ac:dyDescent="0.3">
      <c r="A124" s="3" t="s">
        <v>12</v>
      </c>
      <c r="B124" s="1" t="s">
        <v>13</v>
      </c>
      <c r="E124" s="14"/>
      <c r="F124" s="15"/>
      <c r="G124" s="81"/>
    </row>
    <row r="125" spans="1:7" x14ac:dyDescent="0.3">
      <c r="E125" s="17"/>
      <c r="F125" s="1"/>
      <c r="G125" s="79"/>
    </row>
    <row r="126" spans="1:7" x14ac:dyDescent="0.3">
      <c r="E126" s="17"/>
      <c r="F126" s="1"/>
      <c r="G126" s="82"/>
    </row>
    <row r="127" spans="1:7" x14ac:dyDescent="0.3">
      <c r="A127" s="3" t="s">
        <v>551</v>
      </c>
    </row>
    <row r="128" spans="1:7" x14ac:dyDescent="0.3">
      <c r="A128" t="s">
        <v>838</v>
      </c>
      <c r="B128" s="1">
        <v>80</v>
      </c>
      <c r="D128" s="9" t="s">
        <v>495</v>
      </c>
      <c r="E128" s="8" t="s">
        <v>838</v>
      </c>
      <c r="F128" s="9">
        <v>80</v>
      </c>
      <c r="G128" s="31">
        <v>341</v>
      </c>
    </row>
    <row r="129" spans="1:8" x14ac:dyDescent="0.3">
      <c r="A129" t="s">
        <v>63</v>
      </c>
      <c r="B129" s="1">
        <v>10</v>
      </c>
      <c r="D129" s="9" t="s">
        <v>64</v>
      </c>
      <c r="E129" s="8" t="s">
        <v>65</v>
      </c>
      <c r="F129" s="9">
        <v>10</v>
      </c>
      <c r="G129" s="31">
        <v>758</v>
      </c>
    </row>
    <row r="130" spans="1:8" x14ac:dyDescent="0.3">
      <c r="A130" t="s">
        <v>139</v>
      </c>
      <c r="B130" s="1">
        <v>5</v>
      </c>
      <c r="D130" s="9" t="s">
        <v>140</v>
      </c>
      <c r="E130" s="8" t="s">
        <v>141</v>
      </c>
      <c r="F130" s="9">
        <v>5</v>
      </c>
      <c r="G130" s="31">
        <v>387</v>
      </c>
    </row>
    <row r="131" spans="1:8" x14ac:dyDescent="0.3">
      <c r="A131" t="s">
        <v>24</v>
      </c>
      <c r="B131" s="1">
        <v>0.3</v>
      </c>
      <c r="D131" s="9" t="s">
        <v>25</v>
      </c>
      <c r="E131" s="8" t="s">
        <v>26</v>
      </c>
      <c r="F131" s="9">
        <v>0.3</v>
      </c>
      <c r="G131" s="31">
        <v>0</v>
      </c>
    </row>
    <row r="132" spans="1:8" x14ac:dyDescent="0.3">
      <c r="A132" s="3" t="s">
        <v>10</v>
      </c>
      <c r="B132" s="1">
        <v>95.3</v>
      </c>
      <c r="E132" s="10" t="s">
        <v>11</v>
      </c>
      <c r="F132" s="12">
        <f>SUM(F128:F131)</f>
        <v>95.3</v>
      </c>
      <c r="G132" s="84">
        <f>(G128*$F128+G129*$F129+G130*$F130+G131*$F131)/$F132</f>
        <v>386.09653725078698</v>
      </c>
    </row>
    <row r="133" spans="1:8" x14ac:dyDescent="0.3">
      <c r="A133" s="3" t="s">
        <v>12</v>
      </c>
      <c r="B133" s="1" t="s">
        <v>13</v>
      </c>
      <c r="E133" s="14"/>
      <c r="F133" s="15"/>
      <c r="G133" s="81"/>
    </row>
    <row r="134" spans="1:8" x14ac:dyDescent="0.3">
      <c r="E134" s="17"/>
      <c r="F134" s="1"/>
      <c r="G134" s="79"/>
    </row>
    <row r="135" spans="1:8" x14ac:dyDescent="0.3">
      <c r="E135" s="17"/>
      <c r="F135" s="1"/>
      <c r="G135" s="82"/>
    </row>
    <row r="136" spans="1:8" s="3" customFormat="1" x14ac:dyDescent="0.3">
      <c r="A136" s="3" t="s">
        <v>552</v>
      </c>
      <c r="B136" s="2"/>
      <c r="G136" s="56"/>
      <c r="H136"/>
    </row>
    <row r="137" spans="1:8" x14ac:dyDescent="0.3">
      <c r="A137" t="s">
        <v>838</v>
      </c>
      <c r="B137" s="1">
        <v>80</v>
      </c>
      <c r="D137" s="9" t="s">
        <v>495</v>
      </c>
      <c r="E137" s="8" t="s">
        <v>838</v>
      </c>
      <c r="F137" s="9">
        <v>80</v>
      </c>
      <c r="G137" s="31">
        <v>341</v>
      </c>
    </row>
    <row r="138" spans="1:8" x14ac:dyDescent="0.3">
      <c r="A138" t="s">
        <v>44</v>
      </c>
      <c r="B138" s="1">
        <v>10</v>
      </c>
      <c r="D138" s="9" t="s">
        <v>45</v>
      </c>
      <c r="E138" s="8" t="s">
        <v>46</v>
      </c>
      <c r="F138" s="9">
        <v>10</v>
      </c>
      <c r="G138" s="31">
        <v>899</v>
      </c>
    </row>
    <row r="139" spans="1:8" x14ac:dyDescent="0.3">
      <c r="A139" t="s">
        <v>126</v>
      </c>
      <c r="B139" s="1">
        <v>15</v>
      </c>
      <c r="D139" s="9" t="s">
        <v>127</v>
      </c>
      <c r="E139" s="8" t="s">
        <v>128</v>
      </c>
      <c r="F139" s="9">
        <v>15</v>
      </c>
      <c r="G139" s="31">
        <v>28</v>
      </c>
    </row>
    <row r="140" spans="1:8" x14ac:dyDescent="0.3">
      <c r="A140" t="s">
        <v>374</v>
      </c>
      <c r="B140" s="1">
        <v>65</v>
      </c>
      <c r="D140" s="9" t="s">
        <v>375</v>
      </c>
      <c r="E140" s="8" t="s">
        <v>376</v>
      </c>
      <c r="F140" s="9">
        <v>65</v>
      </c>
      <c r="G140" s="31">
        <v>14</v>
      </c>
    </row>
    <row r="141" spans="1:8" x14ac:dyDescent="0.3">
      <c r="A141" t="s">
        <v>387</v>
      </c>
      <c r="B141" s="1">
        <v>50</v>
      </c>
      <c r="D141" s="9" t="s">
        <v>388</v>
      </c>
      <c r="E141" s="8" t="s">
        <v>389</v>
      </c>
      <c r="F141" s="9">
        <v>50</v>
      </c>
      <c r="G141" s="31">
        <v>71</v>
      </c>
    </row>
    <row r="142" spans="1:8" x14ac:dyDescent="0.3">
      <c r="A142" t="s">
        <v>24</v>
      </c>
      <c r="B142" s="1">
        <v>0.3</v>
      </c>
      <c r="D142" s="9" t="s">
        <v>25</v>
      </c>
      <c r="E142" s="8" t="s">
        <v>26</v>
      </c>
      <c r="F142" s="9">
        <v>0.3</v>
      </c>
      <c r="G142" s="31">
        <v>0</v>
      </c>
    </row>
    <row r="143" spans="1:8" x14ac:dyDescent="0.3">
      <c r="A143" s="3" t="s">
        <v>10</v>
      </c>
      <c r="B143" s="1">
        <v>220.3</v>
      </c>
      <c r="E143" s="10" t="s">
        <v>11</v>
      </c>
      <c r="F143" s="12">
        <f>SUM(F137:F142)</f>
        <v>220.3</v>
      </c>
      <c r="G143" s="84">
        <f>($F137*G137+$F138*G138+G139*$F139+G140*$F140+G141*$F141+G142*$F142)/$F143</f>
        <v>186.79073990013617</v>
      </c>
    </row>
    <row r="144" spans="1:8" x14ac:dyDescent="0.3">
      <c r="A144" s="3" t="s">
        <v>12</v>
      </c>
      <c r="B144" s="1" t="s">
        <v>13</v>
      </c>
      <c r="E144" s="14"/>
      <c r="F144" s="15"/>
      <c r="G144" s="81"/>
    </row>
    <row r="145" spans="1:7" x14ac:dyDescent="0.3">
      <c r="E145" s="17"/>
      <c r="F145" s="1"/>
      <c r="G145" s="79"/>
    </row>
    <row r="146" spans="1:7" x14ac:dyDescent="0.3">
      <c r="E146" s="17"/>
      <c r="F146" s="1"/>
      <c r="G146" s="82"/>
    </row>
    <row r="147" spans="1:7" x14ac:dyDescent="0.3">
      <c r="A147" s="3" t="s">
        <v>553</v>
      </c>
    </row>
    <row r="148" spans="1:7" x14ac:dyDescent="0.3">
      <c r="A148" t="s">
        <v>838</v>
      </c>
      <c r="B148" s="1">
        <v>80</v>
      </c>
      <c r="D148" s="9" t="s">
        <v>495</v>
      </c>
      <c r="E148" s="8" t="s">
        <v>838</v>
      </c>
      <c r="F148" s="9">
        <v>80</v>
      </c>
      <c r="G148" s="31">
        <v>341</v>
      </c>
    </row>
    <row r="149" spans="1:7" x14ac:dyDescent="0.3">
      <c r="A149" t="s">
        <v>554</v>
      </c>
      <c r="B149" s="1">
        <v>75</v>
      </c>
      <c r="D149" s="9" t="s">
        <v>555</v>
      </c>
      <c r="E149" s="8" t="s">
        <v>556</v>
      </c>
      <c r="F149" s="9">
        <v>75</v>
      </c>
      <c r="G149" s="31">
        <v>129</v>
      </c>
    </row>
    <row r="150" spans="1:7" x14ac:dyDescent="0.3">
      <c r="A150" t="s">
        <v>502</v>
      </c>
      <c r="B150" s="1">
        <v>5</v>
      </c>
      <c r="D150" s="9" t="s">
        <v>503</v>
      </c>
      <c r="E150" s="8" t="s">
        <v>504</v>
      </c>
      <c r="F150" s="9">
        <v>5</v>
      </c>
      <c r="G150" s="31">
        <v>206</v>
      </c>
    </row>
    <row r="151" spans="1:7" x14ac:dyDescent="0.3">
      <c r="A151" t="s">
        <v>843</v>
      </c>
      <c r="B151" s="1">
        <v>7</v>
      </c>
      <c r="D151" s="9" t="s">
        <v>557</v>
      </c>
      <c r="E151" s="8" t="s">
        <v>843</v>
      </c>
      <c r="F151" s="9">
        <v>7</v>
      </c>
      <c r="G151" s="31">
        <v>293</v>
      </c>
    </row>
    <row r="152" spans="1:7" x14ac:dyDescent="0.3">
      <c r="A152" t="s">
        <v>558</v>
      </c>
      <c r="B152" s="1">
        <v>5</v>
      </c>
      <c r="D152" s="9" t="s">
        <v>355</v>
      </c>
      <c r="E152" s="8" t="s">
        <v>356</v>
      </c>
      <c r="F152" s="9">
        <v>5</v>
      </c>
      <c r="G152" s="31">
        <v>604</v>
      </c>
    </row>
    <row r="153" spans="1:7" x14ac:dyDescent="0.3">
      <c r="A153" t="s">
        <v>126</v>
      </c>
      <c r="B153" s="1">
        <v>18</v>
      </c>
      <c r="D153" s="9" t="s">
        <v>127</v>
      </c>
      <c r="E153" s="8" t="s">
        <v>128</v>
      </c>
      <c r="F153" s="9">
        <v>18</v>
      </c>
      <c r="G153" s="31">
        <v>28</v>
      </c>
    </row>
    <row r="154" spans="1:7" x14ac:dyDescent="0.3">
      <c r="A154" t="s">
        <v>88</v>
      </c>
      <c r="B154" s="1">
        <v>2</v>
      </c>
      <c r="D154" s="9" t="s">
        <v>89</v>
      </c>
      <c r="E154" s="8" t="s">
        <v>90</v>
      </c>
      <c r="F154" s="9">
        <v>2</v>
      </c>
      <c r="G154" s="31">
        <v>45</v>
      </c>
    </row>
    <row r="155" spans="1:7" x14ac:dyDescent="0.3">
      <c r="A155" t="s">
        <v>559</v>
      </c>
      <c r="B155" s="1">
        <v>0.01</v>
      </c>
      <c r="D155" s="9" t="s">
        <v>560</v>
      </c>
      <c r="E155" s="8" t="s">
        <v>561</v>
      </c>
      <c r="F155" s="9">
        <v>0.01</v>
      </c>
      <c r="G155" s="31">
        <v>337</v>
      </c>
    </row>
    <row r="156" spans="1:7" x14ac:dyDescent="0.3">
      <c r="A156" t="s">
        <v>44</v>
      </c>
      <c r="B156" s="1">
        <v>10</v>
      </c>
      <c r="D156" s="9" t="s">
        <v>45</v>
      </c>
      <c r="E156" s="8" t="s">
        <v>46</v>
      </c>
      <c r="F156" s="9">
        <v>10</v>
      </c>
      <c r="G156" s="31">
        <v>899</v>
      </c>
    </row>
    <row r="157" spans="1:7" x14ac:dyDescent="0.3">
      <c r="A157" t="s">
        <v>105</v>
      </c>
      <c r="B157" s="1">
        <v>3</v>
      </c>
      <c r="D157" s="9" t="s">
        <v>106</v>
      </c>
      <c r="E157" s="8" t="s">
        <v>107</v>
      </c>
      <c r="F157" s="9">
        <v>3</v>
      </c>
      <c r="G157" s="31">
        <v>30</v>
      </c>
    </row>
    <row r="158" spans="1:7" x14ac:dyDescent="0.3">
      <c r="A158" t="s">
        <v>24</v>
      </c>
      <c r="B158" s="1">
        <v>0.3</v>
      </c>
      <c r="D158" s="9" t="s">
        <v>25</v>
      </c>
      <c r="E158" s="8" t="s">
        <v>26</v>
      </c>
      <c r="F158" s="9">
        <v>0.3</v>
      </c>
      <c r="G158" s="31">
        <v>0</v>
      </c>
    </row>
    <row r="159" spans="1:7" x14ac:dyDescent="0.3">
      <c r="A159" t="s">
        <v>71</v>
      </c>
      <c r="B159" s="1">
        <v>0.1</v>
      </c>
      <c r="D159" s="9" t="s">
        <v>72</v>
      </c>
      <c r="E159" s="8" t="s">
        <v>73</v>
      </c>
      <c r="F159" s="9">
        <v>0.1</v>
      </c>
      <c r="G159" s="31">
        <v>270</v>
      </c>
    </row>
    <row r="160" spans="1:7" x14ac:dyDescent="0.3">
      <c r="A160" s="3" t="s">
        <v>10</v>
      </c>
      <c r="B160" s="1">
        <v>205.41</v>
      </c>
      <c r="E160" s="10" t="s">
        <v>11</v>
      </c>
      <c r="F160" s="12">
        <f>SUM(F148:F159)</f>
        <v>205.41</v>
      </c>
      <c r="G160" s="84">
        <f>($F148*G148+$F149*G149+$F150*G150+$F151*G151+$F152*G152+$F153*G153+$F154*G154+$F155*G155+G156*$F156+G157*$F157+G158*$F158+G159*$F159)/$F160</f>
        <v>256.85395063531473</v>
      </c>
    </row>
    <row r="161" spans="1:7" x14ac:dyDescent="0.3">
      <c r="A161" s="3" t="s">
        <v>12</v>
      </c>
      <c r="B161" s="1" t="s">
        <v>13</v>
      </c>
      <c r="E161" s="14"/>
      <c r="F161" s="15"/>
      <c r="G161" s="81"/>
    </row>
    <row r="162" spans="1:7" x14ac:dyDescent="0.3">
      <c r="E162" s="17"/>
      <c r="F162" s="1"/>
      <c r="G162" s="79"/>
    </row>
    <row r="163" spans="1:7" x14ac:dyDescent="0.3">
      <c r="E163" s="17"/>
      <c r="F163" s="1"/>
      <c r="G163" s="82"/>
    </row>
    <row r="164" spans="1:7" x14ac:dyDescent="0.3">
      <c r="A164" s="3" t="s">
        <v>562</v>
      </c>
    </row>
    <row r="165" spans="1:7" x14ac:dyDescent="0.3">
      <c r="A165" t="s">
        <v>838</v>
      </c>
      <c r="B165" s="1">
        <v>80</v>
      </c>
      <c r="D165" s="9" t="s">
        <v>495</v>
      </c>
      <c r="E165" s="8" t="s">
        <v>838</v>
      </c>
      <c r="F165" s="9">
        <v>80</v>
      </c>
      <c r="G165" s="31">
        <v>341</v>
      </c>
    </row>
    <row r="166" spans="1:7" x14ac:dyDescent="0.3">
      <c r="A166" t="s">
        <v>44</v>
      </c>
      <c r="B166" s="1">
        <v>10</v>
      </c>
      <c r="D166" s="9" t="s">
        <v>45</v>
      </c>
      <c r="E166" s="8" t="s">
        <v>46</v>
      </c>
      <c r="F166" s="9">
        <v>10</v>
      </c>
      <c r="G166" s="31">
        <v>899</v>
      </c>
    </row>
    <row r="167" spans="1:7" x14ac:dyDescent="0.3">
      <c r="A167" t="s">
        <v>139</v>
      </c>
      <c r="B167" s="1">
        <v>5</v>
      </c>
      <c r="D167" s="9" t="s">
        <v>140</v>
      </c>
      <c r="E167" s="8" t="s">
        <v>141</v>
      </c>
      <c r="F167" s="9">
        <v>5</v>
      </c>
      <c r="G167" s="31">
        <v>387</v>
      </c>
    </row>
    <row r="168" spans="1:7" x14ac:dyDescent="0.3">
      <c r="A168" t="s">
        <v>24</v>
      </c>
      <c r="B168" s="1">
        <v>0.3</v>
      </c>
      <c r="D168" s="9" t="s">
        <v>25</v>
      </c>
      <c r="E168" s="8" t="s">
        <v>26</v>
      </c>
      <c r="F168" s="9">
        <v>0.3</v>
      </c>
      <c r="G168" s="31">
        <v>0</v>
      </c>
    </row>
    <row r="169" spans="1:7" x14ac:dyDescent="0.3">
      <c r="A169" s="3" t="s">
        <v>10</v>
      </c>
      <c r="B169" s="1">
        <v>95.3</v>
      </c>
      <c r="E169" s="10" t="s">
        <v>11</v>
      </c>
      <c r="F169" s="12">
        <f>SUM(F165:F168)</f>
        <v>95.3</v>
      </c>
      <c r="G169" s="84">
        <f>(G165*$F165+G166*$F166+G167*$F167+G168*$F168)/$F169</f>
        <v>400.89192025183632</v>
      </c>
    </row>
    <row r="170" spans="1:7" x14ac:dyDescent="0.3">
      <c r="A170" s="3" t="s">
        <v>12</v>
      </c>
      <c r="B170" s="1" t="s">
        <v>13</v>
      </c>
      <c r="E170" s="14"/>
      <c r="F170" s="15"/>
      <c r="G170" s="81"/>
    </row>
    <row r="171" spans="1:7" x14ac:dyDescent="0.3">
      <c r="E171" s="17"/>
      <c r="F171" s="1"/>
      <c r="G171" s="79"/>
    </row>
    <row r="172" spans="1:7" x14ac:dyDescent="0.3">
      <c r="E172" s="17"/>
      <c r="F172" s="1"/>
      <c r="G172" s="82"/>
    </row>
    <row r="173" spans="1:7" x14ac:dyDescent="0.3">
      <c r="A173" s="3" t="s">
        <v>563</v>
      </c>
    </row>
    <row r="174" spans="1:7" x14ac:dyDescent="0.3">
      <c r="A174" t="s">
        <v>838</v>
      </c>
      <c r="B174" s="1">
        <v>80</v>
      </c>
      <c r="D174" s="9" t="s">
        <v>495</v>
      </c>
      <c r="E174" s="8" t="s">
        <v>838</v>
      </c>
      <c r="F174" s="9">
        <v>80</v>
      </c>
      <c r="G174" s="31">
        <v>341</v>
      </c>
    </row>
    <row r="175" spans="1:7" x14ac:dyDescent="0.3">
      <c r="A175" t="s">
        <v>270</v>
      </c>
      <c r="B175" s="1">
        <v>35</v>
      </c>
      <c r="D175" s="9" t="s">
        <v>271</v>
      </c>
      <c r="E175" s="8" t="s">
        <v>272</v>
      </c>
      <c r="F175" s="9">
        <v>35</v>
      </c>
      <c r="G175" s="31">
        <v>70</v>
      </c>
    </row>
    <row r="176" spans="1:7" x14ac:dyDescent="0.3">
      <c r="A176" t="s">
        <v>411</v>
      </c>
      <c r="B176" s="1">
        <v>25</v>
      </c>
      <c r="D176" s="9" t="s">
        <v>412</v>
      </c>
      <c r="E176" s="8" t="s">
        <v>413</v>
      </c>
      <c r="F176" s="9">
        <v>25</v>
      </c>
      <c r="G176" s="31">
        <v>215</v>
      </c>
    </row>
    <row r="177" spans="1:7" x14ac:dyDescent="0.3">
      <c r="A177" t="s">
        <v>346</v>
      </c>
      <c r="B177" s="1">
        <v>30</v>
      </c>
      <c r="D177" s="9" t="s">
        <v>347</v>
      </c>
      <c r="E177" s="8" t="s">
        <v>348</v>
      </c>
      <c r="F177" s="9">
        <v>30</v>
      </c>
      <c r="G177" s="31">
        <v>206</v>
      </c>
    </row>
    <row r="178" spans="1:7" x14ac:dyDescent="0.3">
      <c r="A178" t="s">
        <v>139</v>
      </c>
      <c r="B178" s="1">
        <v>5</v>
      </c>
      <c r="D178" s="9" t="s">
        <v>140</v>
      </c>
      <c r="E178" s="8" t="s">
        <v>141</v>
      </c>
      <c r="F178" s="9">
        <v>5</v>
      </c>
      <c r="G178" s="31">
        <v>387</v>
      </c>
    </row>
    <row r="179" spans="1:7" x14ac:dyDescent="0.3">
      <c r="A179" t="s">
        <v>71</v>
      </c>
      <c r="B179" s="1">
        <v>0.1</v>
      </c>
      <c r="D179" s="9" t="s">
        <v>72</v>
      </c>
      <c r="E179" s="8" t="s">
        <v>73</v>
      </c>
      <c r="F179" s="9">
        <v>0.1</v>
      </c>
      <c r="G179" s="31">
        <v>270</v>
      </c>
    </row>
    <row r="180" spans="1:7" x14ac:dyDescent="0.3">
      <c r="A180" t="s">
        <v>24</v>
      </c>
      <c r="B180" s="1">
        <v>0.3</v>
      </c>
      <c r="D180" s="9" t="s">
        <v>25</v>
      </c>
      <c r="E180" s="8" t="s">
        <v>26</v>
      </c>
      <c r="F180" s="9">
        <v>0.3</v>
      </c>
      <c r="G180" s="31">
        <v>0</v>
      </c>
    </row>
    <row r="181" spans="1:7" x14ac:dyDescent="0.3">
      <c r="A181" s="3" t="s">
        <v>10</v>
      </c>
      <c r="B181" s="1">
        <v>175.4</v>
      </c>
      <c r="E181" s="10" t="s">
        <v>11</v>
      </c>
      <c r="F181" s="12">
        <f>SUM(F174:F180)</f>
        <v>175.4</v>
      </c>
      <c r="G181" s="84">
        <f>($F174*G174+$F175*G175+$F176*G176+G177*$F177+G178*$F178+G179*$F179+G180*$F180)/$F181</f>
        <v>246.56214367160774</v>
      </c>
    </row>
    <row r="182" spans="1:7" x14ac:dyDescent="0.3">
      <c r="A182" s="3" t="s">
        <v>12</v>
      </c>
      <c r="B182" s="1" t="s">
        <v>13</v>
      </c>
      <c r="E182" s="14"/>
      <c r="F182" s="15"/>
      <c r="G182" s="81"/>
    </row>
    <row r="183" spans="1:7" x14ac:dyDescent="0.3">
      <c r="E183" s="17"/>
      <c r="F183" s="1"/>
      <c r="G183" s="79"/>
    </row>
    <row r="184" spans="1:7" x14ac:dyDescent="0.3">
      <c r="E184" s="17"/>
      <c r="F184" s="1"/>
      <c r="G184" s="82"/>
    </row>
    <row r="185" spans="1:7" x14ac:dyDescent="0.3">
      <c r="A185" s="3" t="s">
        <v>564</v>
      </c>
    </row>
    <row r="186" spans="1:7" x14ac:dyDescent="0.3">
      <c r="A186" t="s">
        <v>838</v>
      </c>
      <c r="B186" s="1">
        <v>80</v>
      </c>
      <c r="D186" s="9" t="s">
        <v>495</v>
      </c>
      <c r="E186" s="8" t="s">
        <v>838</v>
      </c>
      <c r="F186" s="9">
        <v>80</v>
      </c>
      <c r="G186" s="31">
        <v>341</v>
      </c>
    </row>
    <row r="187" spans="1:7" x14ac:dyDescent="0.3">
      <c r="A187" t="s">
        <v>44</v>
      </c>
      <c r="B187" s="1">
        <v>10</v>
      </c>
      <c r="D187" s="9" t="s">
        <v>45</v>
      </c>
      <c r="E187" s="8" t="s">
        <v>46</v>
      </c>
      <c r="F187" s="9">
        <v>10</v>
      </c>
      <c r="G187" s="31">
        <v>899</v>
      </c>
    </row>
    <row r="188" spans="1:7" x14ac:dyDescent="0.3">
      <c r="A188" t="s">
        <v>840</v>
      </c>
      <c r="B188" s="1">
        <v>120</v>
      </c>
      <c r="D188" s="9" t="s">
        <v>308</v>
      </c>
      <c r="E188" s="8" t="s">
        <v>840</v>
      </c>
      <c r="F188" s="9">
        <v>120</v>
      </c>
      <c r="G188" s="31">
        <v>21</v>
      </c>
    </row>
    <row r="189" spans="1:7" x14ac:dyDescent="0.3">
      <c r="A189" t="s">
        <v>174</v>
      </c>
      <c r="B189" s="1">
        <v>2</v>
      </c>
      <c r="D189" s="9" t="s">
        <v>175</v>
      </c>
      <c r="E189" s="8" t="s">
        <v>176</v>
      </c>
      <c r="F189" s="9">
        <v>2</v>
      </c>
      <c r="G189" s="31">
        <v>49</v>
      </c>
    </row>
    <row r="190" spans="1:7" x14ac:dyDescent="0.3">
      <c r="A190" t="s">
        <v>24</v>
      </c>
      <c r="B190" s="1">
        <v>0.3</v>
      </c>
      <c r="D190" s="9" t="s">
        <v>25</v>
      </c>
      <c r="E190" s="8" t="s">
        <v>26</v>
      </c>
      <c r="F190" s="9">
        <v>0.3</v>
      </c>
      <c r="G190" s="31">
        <v>0</v>
      </c>
    </row>
    <row r="191" spans="1:7" x14ac:dyDescent="0.3">
      <c r="A191" s="3" t="s">
        <v>10</v>
      </c>
      <c r="B191" s="1">
        <v>212.3</v>
      </c>
      <c r="E191" s="10" t="s">
        <v>11</v>
      </c>
      <c r="F191" s="12">
        <f>SUM(F186:F190)</f>
        <v>212.3</v>
      </c>
      <c r="G191" s="84">
        <f>($F186*G186+G187*$F187+G188*$F188+G189*$F189+G190*$F190)/$F191</f>
        <v>183.17475270843144</v>
      </c>
    </row>
    <row r="192" spans="1:7" x14ac:dyDescent="0.3">
      <c r="A192" s="3" t="s">
        <v>12</v>
      </c>
      <c r="B192" s="1" t="s">
        <v>13</v>
      </c>
      <c r="E192" s="14"/>
      <c r="F192" s="15"/>
      <c r="G192" s="81"/>
    </row>
    <row r="193" spans="1:7" x14ac:dyDescent="0.3">
      <c r="E193" s="17"/>
      <c r="F193" s="1"/>
      <c r="G193" s="79"/>
    </row>
    <row r="194" spans="1:7" x14ac:dyDescent="0.3">
      <c r="E194" s="17"/>
      <c r="F194" s="1"/>
      <c r="G194" s="82"/>
    </row>
    <row r="195" spans="1:7" x14ac:dyDescent="0.3">
      <c r="A195" s="3" t="s">
        <v>565</v>
      </c>
    </row>
    <row r="196" spans="1:7" x14ac:dyDescent="0.3">
      <c r="A196" t="s">
        <v>838</v>
      </c>
      <c r="B196" s="1">
        <v>80</v>
      </c>
      <c r="D196" s="9" t="s">
        <v>495</v>
      </c>
      <c r="E196" s="8" t="s">
        <v>838</v>
      </c>
      <c r="F196" s="9">
        <v>80</v>
      </c>
      <c r="G196" s="31">
        <v>341</v>
      </c>
    </row>
    <row r="197" spans="1:7" x14ac:dyDescent="0.3">
      <c r="A197" t="s">
        <v>171</v>
      </c>
      <c r="B197" s="1">
        <v>30</v>
      </c>
      <c r="D197" s="9" t="s">
        <v>172</v>
      </c>
      <c r="E197" s="8" t="s">
        <v>173</v>
      </c>
      <c r="F197" s="9">
        <v>30</v>
      </c>
      <c r="G197" s="31">
        <v>253</v>
      </c>
    </row>
    <row r="198" spans="1:7" x14ac:dyDescent="0.3">
      <c r="A198" t="s">
        <v>840</v>
      </c>
      <c r="B198" s="1">
        <v>100</v>
      </c>
      <c r="D198" s="9" t="s">
        <v>308</v>
      </c>
      <c r="E198" s="8" t="s">
        <v>840</v>
      </c>
      <c r="F198" s="9">
        <v>100</v>
      </c>
      <c r="G198" s="31">
        <v>21</v>
      </c>
    </row>
    <row r="199" spans="1:7" x14ac:dyDescent="0.3">
      <c r="A199" t="s">
        <v>44</v>
      </c>
      <c r="B199" s="1">
        <v>10</v>
      </c>
      <c r="D199" s="9" t="s">
        <v>45</v>
      </c>
      <c r="E199" s="8" t="s">
        <v>46</v>
      </c>
      <c r="F199" s="9">
        <v>10</v>
      </c>
      <c r="G199" s="31">
        <v>899</v>
      </c>
    </row>
    <row r="200" spans="1:7" x14ac:dyDescent="0.3">
      <c r="A200" t="s">
        <v>174</v>
      </c>
      <c r="B200" s="1">
        <v>2</v>
      </c>
      <c r="D200" s="9" t="s">
        <v>175</v>
      </c>
      <c r="E200" s="8" t="s">
        <v>176</v>
      </c>
      <c r="F200" s="9">
        <v>2</v>
      </c>
      <c r="G200" s="31">
        <v>49</v>
      </c>
    </row>
    <row r="201" spans="1:7" x14ac:dyDescent="0.3">
      <c r="A201" t="s">
        <v>24</v>
      </c>
      <c r="B201" s="1">
        <v>0.3</v>
      </c>
      <c r="D201" s="9" t="s">
        <v>25</v>
      </c>
      <c r="E201" s="8" t="s">
        <v>26</v>
      </c>
      <c r="F201" s="9">
        <v>0.3</v>
      </c>
      <c r="G201" s="31">
        <v>0</v>
      </c>
    </row>
    <row r="202" spans="1:7" x14ac:dyDescent="0.3">
      <c r="A202" s="3" t="s">
        <v>10</v>
      </c>
      <c r="B202" s="1">
        <v>222.3</v>
      </c>
      <c r="E202" s="10" t="s">
        <v>11</v>
      </c>
      <c r="F202" s="12">
        <f>SUM(F196:F201)</f>
        <v>222.3</v>
      </c>
      <c r="G202" s="84">
        <f>($F196*G196+$F197*G197+G198*$F198+G199*$F199+G200*$F200+G201*$F201)/$F202</f>
        <v>207.18848403058928</v>
      </c>
    </row>
    <row r="203" spans="1:7" x14ac:dyDescent="0.3">
      <c r="A203" s="3" t="s">
        <v>12</v>
      </c>
      <c r="B203" s="1" t="s">
        <v>13</v>
      </c>
      <c r="E203" s="14"/>
      <c r="F203" s="15"/>
      <c r="G203" s="81"/>
    </row>
    <row r="204" spans="1:7" ht="16.5" customHeight="1" x14ac:dyDescent="0.3">
      <c r="E204" s="17"/>
      <c r="F204" s="1"/>
      <c r="G204" s="79"/>
    </row>
    <row r="205" spans="1:7" ht="16.5" customHeight="1" x14ac:dyDescent="0.3">
      <c r="E205" s="17"/>
      <c r="F205" s="1"/>
      <c r="G205" s="82"/>
    </row>
    <row r="206" spans="1:7" x14ac:dyDescent="0.3">
      <c r="A206" s="3" t="s">
        <v>566</v>
      </c>
    </row>
    <row r="207" spans="1:7" x14ac:dyDescent="0.3">
      <c r="A207" t="s">
        <v>838</v>
      </c>
      <c r="B207" s="1">
        <v>80</v>
      </c>
      <c r="D207" s="9" t="s">
        <v>495</v>
      </c>
      <c r="E207" s="8" t="s">
        <v>838</v>
      </c>
      <c r="F207" s="9">
        <v>80</v>
      </c>
      <c r="G207" s="31">
        <v>341</v>
      </c>
    </row>
    <row r="208" spans="1:7" x14ac:dyDescent="0.3">
      <c r="A208" t="s">
        <v>266</v>
      </c>
      <c r="B208" s="1">
        <v>17</v>
      </c>
      <c r="D208" s="9" t="s">
        <v>267</v>
      </c>
      <c r="E208" s="8" t="s">
        <v>268</v>
      </c>
      <c r="F208" s="9">
        <v>17</v>
      </c>
      <c r="G208" s="31">
        <v>345</v>
      </c>
    </row>
    <row r="209" spans="1:7" x14ac:dyDescent="0.3">
      <c r="A209" t="s">
        <v>129</v>
      </c>
      <c r="B209" s="1">
        <v>35</v>
      </c>
      <c r="D209" s="9" t="s">
        <v>130</v>
      </c>
      <c r="E209" s="8" t="s">
        <v>131</v>
      </c>
      <c r="F209" s="9">
        <v>35</v>
      </c>
      <c r="G209" s="31">
        <v>23</v>
      </c>
    </row>
    <row r="210" spans="1:7" x14ac:dyDescent="0.3">
      <c r="A210" t="s">
        <v>126</v>
      </c>
      <c r="B210" s="1">
        <v>22</v>
      </c>
      <c r="D210" s="9" t="s">
        <v>127</v>
      </c>
      <c r="E210" s="8" t="s">
        <v>128</v>
      </c>
      <c r="F210" s="9">
        <v>22</v>
      </c>
      <c r="G210" s="31">
        <v>28</v>
      </c>
    </row>
    <row r="211" spans="1:7" x14ac:dyDescent="0.3">
      <c r="A211" t="s">
        <v>85</v>
      </c>
      <c r="B211" s="1">
        <v>30</v>
      </c>
      <c r="D211" s="9" t="s">
        <v>86</v>
      </c>
      <c r="E211" s="8" t="s">
        <v>87</v>
      </c>
      <c r="F211" s="9">
        <v>30</v>
      </c>
      <c r="G211" s="31">
        <v>22</v>
      </c>
    </row>
    <row r="212" spans="1:7" x14ac:dyDescent="0.3">
      <c r="A212" t="s">
        <v>44</v>
      </c>
      <c r="B212" s="1">
        <v>10</v>
      </c>
      <c r="D212" s="9" t="s">
        <v>45</v>
      </c>
      <c r="E212" s="8" t="s">
        <v>46</v>
      </c>
      <c r="F212" s="9">
        <v>10</v>
      </c>
      <c r="G212" s="31">
        <v>899</v>
      </c>
    </row>
    <row r="213" spans="1:7" x14ac:dyDescent="0.3">
      <c r="A213" t="s">
        <v>105</v>
      </c>
      <c r="B213" s="1">
        <v>5</v>
      </c>
      <c r="D213" s="9" t="s">
        <v>106</v>
      </c>
      <c r="E213" s="8" t="s">
        <v>107</v>
      </c>
      <c r="F213" s="9">
        <v>5</v>
      </c>
      <c r="G213" s="31">
        <v>30</v>
      </c>
    </row>
    <row r="214" spans="1:7" x14ac:dyDescent="0.3">
      <c r="A214" t="s">
        <v>841</v>
      </c>
      <c r="B214" s="1">
        <v>0.5</v>
      </c>
      <c r="D214" s="9" t="s">
        <v>457</v>
      </c>
      <c r="E214" s="8" t="s">
        <v>841</v>
      </c>
      <c r="F214" s="9">
        <v>0.5</v>
      </c>
      <c r="G214" s="31">
        <v>30</v>
      </c>
    </row>
    <row r="215" spans="1:7" x14ac:dyDescent="0.3">
      <c r="A215" t="s">
        <v>24</v>
      </c>
      <c r="B215" s="1">
        <v>0.3</v>
      </c>
      <c r="D215" s="9" t="s">
        <v>25</v>
      </c>
      <c r="E215" s="8" t="s">
        <v>26</v>
      </c>
      <c r="F215" s="9">
        <v>0.3</v>
      </c>
      <c r="G215" s="31">
        <v>0</v>
      </c>
    </row>
    <row r="216" spans="1:7" x14ac:dyDescent="0.3">
      <c r="A216" s="3" t="s">
        <v>10</v>
      </c>
      <c r="B216" s="1">
        <v>199.8</v>
      </c>
      <c r="E216" s="10" t="s">
        <v>11</v>
      </c>
      <c r="F216" s="12">
        <f>SUM(F207:F215)</f>
        <v>199.8</v>
      </c>
      <c r="G216" s="84">
        <f>($F207*G207+$F208*G208+$F209*G209+$F210*G210+$F211*G211+G212*$F212+G213*$F213+G214*$F214+G215*$F215)/$F216</f>
        <v>222.12712712712712</v>
      </c>
    </row>
    <row r="217" spans="1:7" x14ac:dyDescent="0.3">
      <c r="A217" s="3" t="s">
        <v>12</v>
      </c>
      <c r="B217" s="1" t="s">
        <v>13</v>
      </c>
      <c r="E217" s="14"/>
      <c r="F217" s="15"/>
      <c r="G217" s="81"/>
    </row>
    <row r="218" spans="1:7" x14ac:dyDescent="0.3">
      <c r="E218" s="17"/>
      <c r="F218" s="1"/>
      <c r="G218" s="79"/>
    </row>
    <row r="219" spans="1:7" x14ac:dyDescent="0.3">
      <c r="E219" s="17"/>
      <c r="F219" s="1"/>
      <c r="G219" s="82"/>
    </row>
    <row r="220" spans="1:7" x14ac:dyDescent="0.3">
      <c r="A220" s="3" t="s">
        <v>567</v>
      </c>
    </row>
    <row r="221" spans="1:7" x14ac:dyDescent="0.3">
      <c r="A221" t="s">
        <v>262</v>
      </c>
      <c r="B221" s="1">
        <v>125</v>
      </c>
      <c r="D221" s="9" t="s">
        <v>263</v>
      </c>
      <c r="E221" s="8" t="s">
        <v>264</v>
      </c>
      <c r="F221" s="9">
        <v>125</v>
      </c>
      <c r="G221" s="31">
        <v>5</v>
      </c>
    </row>
    <row r="222" spans="1:7" x14ac:dyDescent="0.3">
      <c r="A222" t="s">
        <v>838</v>
      </c>
      <c r="B222" s="1">
        <v>25</v>
      </c>
      <c r="D222" s="9" t="s">
        <v>495</v>
      </c>
      <c r="E222" s="8" t="s">
        <v>838</v>
      </c>
      <c r="F222" s="9">
        <v>25</v>
      </c>
      <c r="G222" s="31">
        <v>341</v>
      </c>
    </row>
    <row r="223" spans="1:7" x14ac:dyDescent="0.3">
      <c r="A223" t="s">
        <v>266</v>
      </c>
      <c r="B223" s="1">
        <v>50</v>
      </c>
      <c r="D223" s="9" t="s">
        <v>267</v>
      </c>
      <c r="E223" s="8" t="s">
        <v>268</v>
      </c>
      <c r="F223" s="9">
        <v>50</v>
      </c>
      <c r="G223" s="31">
        <v>345</v>
      </c>
    </row>
    <row r="224" spans="1:7" x14ac:dyDescent="0.3">
      <c r="A224" t="s">
        <v>129</v>
      </c>
      <c r="B224" s="1">
        <v>35</v>
      </c>
      <c r="D224" s="9" t="s">
        <v>130</v>
      </c>
      <c r="E224" s="8" t="s">
        <v>131</v>
      </c>
      <c r="F224" s="9">
        <v>35</v>
      </c>
      <c r="G224" s="31">
        <v>23</v>
      </c>
    </row>
    <row r="225" spans="1:7" x14ac:dyDescent="0.3">
      <c r="A225" t="s">
        <v>126</v>
      </c>
      <c r="B225" s="1">
        <v>35</v>
      </c>
      <c r="D225" s="9" t="s">
        <v>127</v>
      </c>
      <c r="E225" s="8" t="s">
        <v>128</v>
      </c>
      <c r="F225" s="9">
        <v>35</v>
      </c>
      <c r="G225" s="31">
        <v>28</v>
      </c>
    </row>
    <row r="226" spans="1:7" x14ac:dyDescent="0.3">
      <c r="A226" t="s">
        <v>123</v>
      </c>
      <c r="B226" s="1">
        <v>35</v>
      </c>
      <c r="D226" s="9" t="s">
        <v>124</v>
      </c>
      <c r="E226" s="8" t="s">
        <v>125</v>
      </c>
      <c r="F226" s="9">
        <v>35</v>
      </c>
      <c r="G226" s="31">
        <v>39</v>
      </c>
    </row>
    <row r="227" spans="1:7" x14ac:dyDescent="0.3">
      <c r="A227" t="s">
        <v>85</v>
      </c>
      <c r="B227" s="1">
        <v>60</v>
      </c>
      <c r="D227" s="9" t="s">
        <v>86</v>
      </c>
      <c r="E227" s="8" t="s">
        <v>87</v>
      </c>
      <c r="F227" s="9">
        <v>60</v>
      </c>
      <c r="G227" s="31">
        <v>22</v>
      </c>
    </row>
    <row r="228" spans="1:7" x14ac:dyDescent="0.3">
      <c r="A228" t="s">
        <v>105</v>
      </c>
      <c r="B228" s="1">
        <v>5</v>
      </c>
      <c r="D228" s="9" t="s">
        <v>106</v>
      </c>
      <c r="E228" s="8" t="s">
        <v>107</v>
      </c>
      <c r="F228" s="9">
        <v>5</v>
      </c>
      <c r="G228" s="31">
        <v>30</v>
      </c>
    </row>
    <row r="229" spans="1:7" x14ac:dyDescent="0.3">
      <c r="A229" t="s">
        <v>841</v>
      </c>
      <c r="B229" s="1">
        <v>0.5</v>
      </c>
      <c r="D229" s="9" t="s">
        <v>457</v>
      </c>
      <c r="E229" s="8" t="s">
        <v>841</v>
      </c>
      <c r="F229" s="9">
        <v>0.5</v>
      </c>
      <c r="G229" s="31">
        <v>30</v>
      </c>
    </row>
    <row r="230" spans="1:7" x14ac:dyDescent="0.3">
      <c r="A230" t="s">
        <v>44</v>
      </c>
      <c r="B230" s="1">
        <v>10</v>
      </c>
      <c r="D230" s="9" t="s">
        <v>45</v>
      </c>
      <c r="E230" s="8" t="s">
        <v>46</v>
      </c>
      <c r="F230" s="9">
        <v>10</v>
      </c>
      <c r="G230" s="31">
        <v>899</v>
      </c>
    </row>
    <row r="231" spans="1:7" x14ac:dyDescent="0.3">
      <c r="A231" t="s">
        <v>71</v>
      </c>
      <c r="B231" s="1">
        <v>0.1</v>
      </c>
      <c r="D231" s="9" t="s">
        <v>72</v>
      </c>
      <c r="E231" s="8" t="s">
        <v>73</v>
      </c>
      <c r="F231" s="9">
        <v>0.1</v>
      </c>
      <c r="G231" s="31">
        <v>270</v>
      </c>
    </row>
    <row r="232" spans="1:7" x14ac:dyDescent="0.3">
      <c r="A232" s="3" t="s">
        <v>10</v>
      </c>
      <c r="B232" s="1">
        <v>380.6</v>
      </c>
      <c r="E232" s="10" t="s">
        <v>11</v>
      </c>
      <c r="F232" s="12">
        <f>SUM(F221:F231)</f>
        <v>380.6</v>
      </c>
      <c r="G232" s="84">
        <f>($F221*G221+$F222*G222+$F223*G223+$F224*G224+$F225*G225+$F226*G226+$F227*G227+G228*$F228+G229*$F229+G230*$F230+G231*$F231)/$F232</f>
        <v>105.23384130320545</v>
      </c>
    </row>
    <row r="233" spans="1:7" x14ac:dyDescent="0.3">
      <c r="A233" s="3" t="s">
        <v>12</v>
      </c>
      <c r="B233" s="1" t="s">
        <v>13</v>
      </c>
      <c r="E233" s="14"/>
      <c r="F233" s="15"/>
      <c r="G233" s="81"/>
    </row>
    <row r="234" spans="1:7" x14ac:dyDescent="0.3">
      <c r="A234" s="3"/>
      <c r="E234" s="17"/>
      <c r="F234" s="1"/>
      <c r="G234" s="79"/>
    </row>
    <row r="235" spans="1:7" x14ac:dyDescent="0.3">
      <c r="E235" s="17"/>
      <c r="F235" s="1"/>
      <c r="G235" s="82"/>
    </row>
    <row r="236" spans="1:7" x14ac:dyDescent="0.3">
      <c r="A236" s="3" t="s">
        <v>568</v>
      </c>
    </row>
    <row r="237" spans="1:7" x14ac:dyDescent="0.3">
      <c r="A237" t="s">
        <v>844</v>
      </c>
      <c r="B237" s="1">
        <v>80</v>
      </c>
      <c r="D237" s="9" t="s">
        <v>569</v>
      </c>
      <c r="E237" s="8" t="s">
        <v>844</v>
      </c>
      <c r="F237" s="9">
        <v>80</v>
      </c>
      <c r="G237" s="31">
        <v>330</v>
      </c>
    </row>
    <row r="238" spans="1:7" x14ac:dyDescent="0.3">
      <c r="A238" t="s">
        <v>44</v>
      </c>
      <c r="B238" s="1">
        <v>10</v>
      </c>
      <c r="D238" s="9" t="s">
        <v>45</v>
      </c>
      <c r="E238" s="8" t="s">
        <v>46</v>
      </c>
      <c r="F238" s="9">
        <v>10</v>
      </c>
      <c r="G238" s="31">
        <v>899</v>
      </c>
    </row>
    <row r="239" spans="1:7" x14ac:dyDescent="0.3">
      <c r="A239" t="s">
        <v>126</v>
      </c>
      <c r="B239" s="1">
        <v>15</v>
      </c>
      <c r="D239" s="9" t="s">
        <v>127</v>
      </c>
      <c r="E239" s="8" t="s">
        <v>128</v>
      </c>
      <c r="F239" s="9">
        <v>15</v>
      </c>
      <c r="G239" s="31">
        <v>28</v>
      </c>
    </row>
    <row r="240" spans="1:7" x14ac:dyDescent="0.3">
      <c r="A240" t="s">
        <v>825</v>
      </c>
      <c r="B240" s="1">
        <v>65</v>
      </c>
      <c r="D240" s="65" t="s">
        <v>213</v>
      </c>
      <c r="E240" s="8" t="s">
        <v>825</v>
      </c>
      <c r="F240" s="9">
        <v>65</v>
      </c>
      <c r="G240" s="83">
        <v>100</v>
      </c>
    </row>
    <row r="241" spans="1:7" x14ac:dyDescent="0.3">
      <c r="A241" t="s">
        <v>139</v>
      </c>
      <c r="B241" s="1">
        <v>5</v>
      </c>
      <c r="D241" s="9" t="s">
        <v>140</v>
      </c>
      <c r="E241" s="8" t="s">
        <v>141</v>
      </c>
      <c r="F241" s="9">
        <v>5</v>
      </c>
      <c r="G241" s="31">
        <v>387</v>
      </c>
    </row>
    <row r="242" spans="1:7" x14ac:dyDescent="0.3">
      <c r="A242" t="s">
        <v>24</v>
      </c>
      <c r="B242" s="1">
        <v>0.3</v>
      </c>
      <c r="D242" s="9" t="s">
        <v>25</v>
      </c>
      <c r="E242" s="8" t="s">
        <v>26</v>
      </c>
      <c r="F242" s="9">
        <v>0.3</v>
      </c>
      <c r="G242" s="31">
        <v>0</v>
      </c>
    </row>
    <row r="243" spans="1:7" x14ac:dyDescent="0.3">
      <c r="A243" s="3" t="s">
        <v>10</v>
      </c>
      <c r="B243" s="1">
        <v>175.3</v>
      </c>
      <c r="E243" s="10" t="s">
        <v>11</v>
      </c>
      <c r="F243" s="12">
        <f>SUM(F237:F242)</f>
        <v>175.3</v>
      </c>
      <c r="G243" s="84">
        <f>($F237*G237+$F238*G238+G239*$F239+G240*$F240+G241*$F241+G242*$F242)/$F243</f>
        <v>252.39589275527666</v>
      </c>
    </row>
    <row r="244" spans="1:7" x14ac:dyDescent="0.3">
      <c r="A244" s="3" t="s">
        <v>12</v>
      </c>
      <c r="B244" s="1" t="s">
        <v>13</v>
      </c>
      <c r="E244" s="14" t="s">
        <v>102</v>
      </c>
      <c r="F244" s="15"/>
      <c r="G244" s="81">
        <v>236.42</v>
      </c>
    </row>
    <row r="245" spans="1:7" x14ac:dyDescent="0.3">
      <c r="E245" s="17" t="s">
        <v>570</v>
      </c>
      <c r="F245" s="1" t="s">
        <v>571</v>
      </c>
      <c r="G245" s="79">
        <f t="shared" ref="G245" si="0">G243-G244</f>
        <v>15.975892755276675</v>
      </c>
    </row>
    <row r="246" spans="1:7" x14ac:dyDescent="0.3">
      <c r="E246" s="17" t="s">
        <v>570</v>
      </c>
      <c r="F246" s="1" t="s">
        <v>572</v>
      </c>
      <c r="G246" s="82">
        <f t="shared" ref="G246" si="1">G245*100/G243</f>
        <v>6.3296960108486857</v>
      </c>
    </row>
    <row r="247" spans="1:7" x14ac:dyDescent="0.3">
      <c r="A247" s="3" t="s">
        <v>573</v>
      </c>
    </row>
    <row r="248" spans="1:7" x14ac:dyDescent="0.3">
      <c r="A248" t="s">
        <v>844</v>
      </c>
      <c r="B248" s="1">
        <v>80</v>
      </c>
      <c r="D248" s="9" t="s">
        <v>569</v>
      </c>
      <c r="E248" s="8" t="s">
        <v>844</v>
      </c>
      <c r="F248" s="9">
        <v>80</v>
      </c>
      <c r="G248" s="31">
        <v>330</v>
      </c>
    </row>
    <row r="249" spans="1:7" x14ac:dyDescent="0.3">
      <c r="A249" s="61" t="s">
        <v>548</v>
      </c>
      <c r="B249" s="9">
        <v>53</v>
      </c>
      <c r="D249" s="65" t="s">
        <v>433</v>
      </c>
      <c r="E249" s="42" t="s">
        <v>434</v>
      </c>
      <c r="F249" s="9">
        <v>53</v>
      </c>
      <c r="G249" s="31">
        <v>35</v>
      </c>
    </row>
    <row r="250" spans="1:7" x14ac:dyDescent="0.3">
      <c r="A250" s="61" t="s">
        <v>548</v>
      </c>
      <c r="B250" s="9">
        <v>53</v>
      </c>
      <c r="D250" s="65" t="s">
        <v>247</v>
      </c>
      <c r="E250" s="42" t="s">
        <v>248</v>
      </c>
      <c r="F250" s="9">
        <v>53</v>
      </c>
      <c r="G250" s="31">
        <v>19</v>
      </c>
    </row>
    <row r="251" spans="1:7" x14ac:dyDescent="0.3">
      <c r="A251" s="61" t="s">
        <v>548</v>
      </c>
      <c r="B251" s="9">
        <v>54</v>
      </c>
      <c r="D251" s="65" t="s">
        <v>216</v>
      </c>
      <c r="E251" s="8" t="s">
        <v>217</v>
      </c>
      <c r="F251" s="9">
        <v>54</v>
      </c>
      <c r="G251" s="31">
        <v>30</v>
      </c>
    </row>
    <row r="252" spans="1:7" x14ac:dyDescent="0.3">
      <c r="A252" t="s">
        <v>44</v>
      </c>
      <c r="B252" s="1">
        <v>10</v>
      </c>
      <c r="D252" s="9" t="s">
        <v>45</v>
      </c>
      <c r="E252" s="8" t="s">
        <v>46</v>
      </c>
      <c r="F252" s="9">
        <v>10</v>
      </c>
      <c r="G252" s="31">
        <v>899</v>
      </c>
    </row>
    <row r="253" spans="1:7" x14ac:dyDescent="0.3">
      <c r="A253" t="s">
        <v>139</v>
      </c>
      <c r="B253" s="1">
        <v>5</v>
      </c>
      <c r="D253" s="9" t="s">
        <v>140</v>
      </c>
      <c r="E253" s="8" t="s">
        <v>141</v>
      </c>
      <c r="F253" s="9">
        <v>5</v>
      </c>
      <c r="G253" s="31">
        <v>387</v>
      </c>
    </row>
    <row r="254" spans="1:7" x14ac:dyDescent="0.3">
      <c r="A254" t="s">
        <v>71</v>
      </c>
      <c r="B254" s="1">
        <v>0.1</v>
      </c>
      <c r="D254" s="9" t="s">
        <v>72</v>
      </c>
      <c r="E254" s="8" t="s">
        <v>73</v>
      </c>
      <c r="F254" s="9">
        <v>0.1</v>
      </c>
      <c r="G254" s="31">
        <v>270</v>
      </c>
    </row>
    <row r="255" spans="1:7" x14ac:dyDescent="0.3">
      <c r="A255" t="s">
        <v>24</v>
      </c>
      <c r="B255" s="1">
        <v>0.3</v>
      </c>
      <c r="D255" s="9" t="s">
        <v>25</v>
      </c>
      <c r="E255" s="8" t="s">
        <v>26</v>
      </c>
      <c r="F255" s="9">
        <v>0.3</v>
      </c>
      <c r="G255" s="31">
        <v>0</v>
      </c>
    </row>
    <row r="256" spans="1:7" x14ac:dyDescent="0.3">
      <c r="A256" s="3" t="s">
        <v>10</v>
      </c>
      <c r="B256" s="1">
        <v>255.4</v>
      </c>
      <c r="E256" s="10" t="s">
        <v>11</v>
      </c>
      <c r="F256" s="12">
        <f>SUM(F248:F255)</f>
        <v>255.4</v>
      </c>
      <c r="G256" s="84">
        <f>($F248*G248+$F249*G249+$F250*G250+F251*G251+G252*$F252+G253*$F253+G254*$F254+G255*$F255)/$F256</f>
        <v>163.7979639780736</v>
      </c>
    </row>
    <row r="257" spans="1:7" x14ac:dyDescent="0.3">
      <c r="A257" s="3" t="s">
        <v>12</v>
      </c>
      <c r="B257" s="1" t="s">
        <v>13</v>
      </c>
      <c r="E257" s="14"/>
      <c r="F257" s="15"/>
      <c r="G257" s="81"/>
    </row>
    <row r="258" spans="1:7" x14ac:dyDescent="0.3">
      <c r="E258" s="17"/>
      <c r="F258" s="1"/>
      <c r="G258" s="79"/>
    </row>
    <row r="259" spans="1:7" x14ac:dyDescent="0.3">
      <c r="E259" s="17"/>
      <c r="F259" s="1"/>
      <c r="G259" s="82"/>
    </row>
    <row r="260" spans="1:7" x14ac:dyDescent="0.3">
      <c r="A260" s="3" t="s">
        <v>574</v>
      </c>
    </row>
    <row r="261" spans="1:7" x14ac:dyDescent="0.3">
      <c r="A261" t="s">
        <v>262</v>
      </c>
      <c r="B261" s="1">
        <v>200</v>
      </c>
      <c r="D261" s="9" t="s">
        <v>263</v>
      </c>
      <c r="E261" s="8" t="s">
        <v>264</v>
      </c>
      <c r="F261" s="9">
        <v>200</v>
      </c>
      <c r="G261" s="31">
        <v>5</v>
      </c>
    </row>
    <row r="262" spans="1:7" x14ac:dyDescent="0.3">
      <c r="A262" t="s">
        <v>838</v>
      </c>
      <c r="B262" s="1">
        <v>40</v>
      </c>
      <c r="D262" s="9" t="s">
        <v>495</v>
      </c>
      <c r="E262" s="8" t="s">
        <v>838</v>
      </c>
      <c r="F262" s="9">
        <v>40</v>
      </c>
      <c r="G262" s="31">
        <v>341</v>
      </c>
    </row>
    <row r="263" spans="1:7" x14ac:dyDescent="0.3">
      <c r="A263" t="s">
        <v>139</v>
      </c>
      <c r="B263" s="1">
        <v>5</v>
      </c>
      <c r="D263" s="9" t="s">
        <v>140</v>
      </c>
      <c r="E263" s="8" t="s">
        <v>141</v>
      </c>
      <c r="F263" s="9">
        <v>5</v>
      </c>
      <c r="G263" s="31">
        <v>387</v>
      </c>
    </row>
    <row r="264" spans="1:7" x14ac:dyDescent="0.3">
      <c r="A264" s="3" t="s">
        <v>10</v>
      </c>
      <c r="B264" s="1">
        <v>245</v>
      </c>
      <c r="E264" s="10" t="s">
        <v>11</v>
      </c>
      <c r="F264" s="12">
        <f>SUM(F261:F263)</f>
        <v>245</v>
      </c>
      <c r="G264" s="84">
        <f>(G261*$F261+G262*$F262+G263*$F263)/$F264</f>
        <v>67.65306122448979</v>
      </c>
    </row>
    <row r="265" spans="1:7" x14ac:dyDescent="0.3">
      <c r="A265" s="3" t="s">
        <v>12</v>
      </c>
      <c r="B265" s="1" t="s">
        <v>13</v>
      </c>
      <c r="E265" s="14"/>
      <c r="F265" s="15"/>
      <c r="G265" s="81"/>
    </row>
    <row r="266" spans="1:7" x14ac:dyDescent="0.3">
      <c r="E266" s="17"/>
      <c r="F266" s="1"/>
      <c r="G266" s="79"/>
    </row>
    <row r="267" spans="1:7" x14ac:dyDescent="0.3">
      <c r="E267" s="17"/>
      <c r="F267" s="1"/>
      <c r="G267" s="82"/>
    </row>
    <row r="268" spans="1:7" x14ac:dyDescent="0.3">
      <c r="A268" s="3" t="s">
        <v>575</v>
      </c>
    </row>
    <row r="269" spans="1:7" x14ac:dyDescent="0.3">
      <c r="A269" t="s">
        <v>274</v>
      </c>
      <c r="B269" s="1">
        <v>200</v>
      </c>
      <c r="D269" s="9" t="s">
        <v>275</v>
      </c>
      <c r="E269" s="8" t="s">
        <v>276</v>
      </c>
      <c r="F269" s="9">
        <v>200</v>
      </c>
      <c r="G269" s="31">
        <v>80</v>
      </c>
    </row>
    <row r="270" spans="1:7" x14ac:dyDescent="0.3">
      <c r="A270" t="s">
        <v>126</v>
      </c>
      <c r="B270" s="1">
        <v>200</v>
      </c>
      <c r="D270" s="9" t="s">
        <v>127</v>
      </c>
      <c r="E270" s="8" t="s">
        <v>128</v>
      </c>
      <c r="F270" s="9">
        <v>200</v>
      </c>
      <c r="G270" s="31">
        <v>28</v>
      </c>
    </row>
    <row r="271" spans="1:7" x14ac:dyDescent="0.3">
      <c r="A271" t="s">
        <v>44</v>
      </c>
      <c r="B271" s="1">
        <v>10</v>
      </c>
      <c r="D271" s="9" t="s">
        <v>45</v>
      </c>
      <c r="E271" s="8" t="s">
        <v>46</v>
      </c>
      <c r="F271" s="9">
        <v>10</v>
      </c>
      <c r="G271" s="31">
        <v>899</v>
      </c>
    </row>
    <row r="272" spans="1:7" x14ac:dyDescent="0.3">
      <c r="A272" t="s">
        <v>24</v>
      </c>
      <c r="B272" s="1">
        <v>0.3</v>
      </c>
      <c r="D272" s="9" t="s">
        <v>25</v>
      </c>
      <c r="E272" s="8" t="s">
        <v>26</v>
      </c>
      <c r="F272" s="9">
        <v>0.3</v>
      </c>
      <c r="G272" s="31">
        <v>0</v>
      </c>
    </row>
    <row r="273" spans="1:7" x14ac:dyDescent="0.3">
      <c r="A273" t="s">
        <v>71</v>
      </c>
      <c r="B273" s="1">
        <v>0.1</v>
      </c>
      <c r="D273" s="9" t="s">
        <v>72</v>
      </c>
      <c r="E273" s="8" t="s">
        <v>73</v>
      </c>
      <c r="F273" s="9">
        <v>0.1</v>
      </c>
      <c r="G273" s="31">
        <v>270</v>
      </c>
    </row>
    <row r="274" spans="1:7" x14ac:dyDescent="0.3">
      <c r="A274" t="s">
        <v>105</v>
      </c>
      <c r="B274" s="1">
        <v>2</v>
      </c>
      <c r="D274" s="9" t="s">
        <v>106</v>
      </c>
      <c r="E274" s="8" t="s">
        <v>107</v>
      </c>
      <c r="F274" s="9">
        <v>2</v>
      </c>
      <c r="G274" s="31">
        <v>30</v>
      </c>
    </row>
    <row r="275" spans="1:7" x14ac:dyDescent="0.3">
      <c r="A275" s="3" t="s">
        <v>10</v>
      </c>
      <c r="B275" s="1">
        <v>412.4</v>
      </c>
      <c r="E275" s="10" t="s">
        <v>11</v>
      </c>
      <c r="F275" s="12">
        <f>SUM(F269:F274)</f>
        <v>412.40000000000003</v>
      </c>
      <c r="G275" s="84">
        <f>($F269*G269+$F270*G270+G271*$F271+G272*$F272+G273*$F273+G274*$F274)/$F275</f>
        <v>74.386517943743925</v>
      </c>
    </row>
    <row r="276" spans="1:7" x14ac:dyDescent="0.3">
      <c r="A276" s="3" t="s">
        <v>12</v>
      </c>
      <c r="B276" s="1" t="s">
        <v>13</v>
      </c>
      <c r="E276" s="14"/>
      <c r="F276" s="15"/>
      <c r="G276" s="81"/>
    </row>
    <row r="277" spans="1:7" x14ac:dyDescent="0.3">
      <c r="E277" s="17"/>
      <c r="F277" s="1"/>
      <c r="G277" s="79"/>
    </row>
    <row r="278" spans="1:7" x14ac:dyDescent="0.3">
      <c r="E278" s="17"/>
      <c r="F278" s="1"/>
      <c r="G278" s="82"/>
    </row>
    <row r="279" spans="1:7" x14ac:dyDescent="0.3">
      <c r="A279" s="3" t="s">
        <v>576</v>
      </c>
    </row>
    <row r="280" spans="1:7" x14ac:dyDescent="0.3">
      <c r="A280" t="s">
        <v>274</v>
      </c>
      <c r="B280" s="1">
        <v>200</v>
      </c>
      <c r="D280" s="9" t="s">
        <v>275</v>
      </c>
      <c r="E280" s="8" t="s">
        <v>276</v>
      </c>
      <c r="F280" s="9">
        <v>200</v>
      </c>
      <c r="G280" s="31">
        <v>80</v>
      </c>
    </row>
    <row r="281" spans="1:7" x14ac:dyDescent="0.3">
      <c r="A281" t="s">
        <v>294</v>
      </c>
      <c r="B281" s="1">
        <v>200</v>
      </c>
      <c r="D281" s="9" t="s">
        <v>295</v>
      </c>
      <c r="E281" s="8" t="s">
        <v>296</v>
      </c>
      <c r="F281" s="9">
        <v>200</v>
      </c>
      <c r="G281" s="31">
        <v>24</v>
      </c>
    </row>
    <row r="282" spans="1:7" x14ac:dyDescent="0.3">
      <c r="A282" t="s">
        <v>44</v>
      </c>
      <c r="B282" s="1">
        <v>10</v>
      </c>
      <c r="D282" s="9" t="s">
        <v>45</v>
      </c>
      <c r="E282" s="8" t="s">
        <v>46</v>
      </c>
      <c r="F282" s="9">
        <v>10</v>
      </c>
      <c r="G282" s="31">
        <v>899</v>
      </c>
    </row>
    <row r="283" spans="1:7" x14ac:dyDescent="0.3">
      <c r="A283" t="s">
        <v>24</v>
      </c>
      <c r="B283" s="1">
        <v>0.3</v>
      </c>
      <c r="D283" s="9" t="s">
        <v>25</v>
      </c>
      <c r="E283" s="8" t="s">
        <v>26</v>
      </c>
      <c r="F283" s="9">
        <v>0.3</v>
      </c>
      <c r="G283" s="31">
        <v>0</v>
      </c>
    </row>
    <row r="284" spans="1:7" x14ac:dyDescent="0.3">
      <c r="A284" t="s">
        <v>71</v>
      </c>
      <c r="B284" s="1">
        <v>0.1</v>
      </c>
      <c r="D284" s="9" t="s">
        <v>72</v>
      </c>
      <c r="E284" s="8" t="s">
        <v>73</v>
      </c>
      <c r="F284" s="9">
        <v>0.1</v>
      </c>
      <c r="G284" s="31">
        <v>270</v>
      </c>
    </row>
    <row r="285" spans="1:7" x14ac:dyDescent="0.3">
      <c r="A285" t="s">
        <v>105</v>
      </c>
      <c r="B285" s="1">
        <v>2</v>
      </c>
      <c r="D285" s="9" t="s">
        <v>106</v>
      </c>
      <c r="E285" s="8" t="s">
        <v>107</v>
      </c>
      <c r="F285" s="9">
        <v>2</v>
      </c>
      <c r="G285" s="31">
        <v>30</v>
      </c>
    </row>
    <row r="286" spans="1:7" x14ac:dyDescent="0.3">
      <c r="A286" t="s">
        <v>88</v>
      </c>
      <c r="B286" s="1">
        <v>2</v>
      </c>
      <c r="D286" s="9" t="s">
        <v>89</v>
      </c>
      <c r="E286" s="8" t="s">
        <v>90</v>
      </c>
      <c r="F286" s="9">
        <v>2</v>
      </c>
      <c r="G286" s="31">
        <v>45</v>
      </c>
    </row>
    <row r="287" spans="1:7" x14ac:dyDescent="0.3">
      <c r="A287" s="3" t="s">
        <v>10</v>
      </c>
      <c r="B287" s="1">
        <v>414.4</v>
      </c>
      <c r="E287" s="10" t="s">
        <v>11</v>
      </c>
      <c r="F287" s="12">
        <f>SUM(F280:F286)</f>
        <v>414.40000000000003</v>
      </c>
      <c r="G287" s="84">
        <f>($F280*G280+$F281*G281+$F282*G282+G283*$F283+G284*$F284+G285*$F285+G286*$F286)/$F287</f>
        <v>72.314189189189179</v>
      </c>
    </row>
    <row r="288" spans="1:7" x14ac:dyDescent="0.3">
      <c r="A288" s="3" t="s">
        <v>12</v>
      </c>
      <c r="B288" s="1" t="s">
        <v>13</v>
      </c>
      <c r="E288" s="14"/>
      <c r="F288" s="15"/>
      <c r="G288" s="81"/>
    </row>
    <row r="289" spans="1:7" x14ac:dyDescent="0.3">
      <c r="E289" s="17"/>
      <c r="F289" s="1"/>
      <c r="G289" s="79"/>
    </row>
    <row r="290" spans="1:7" x14ac:dyDescent="0.3">
      <c r="E290" s="17"/>
      <c r="F290" s="1"/>
      <c r="G290" s="82"/>
    </row>
    <row r="291" spans="1:7" x14ac:dyDescent="0.3">
      <c r="A291" s="3" t="s">
        <v>577</v>
      </c>
    </row>
    <row r="292" spans="1:7" x14ac:dyDescent="0.3">
      <c r="A292" t="s">
        <v>274</v>
      </c>
      <c r="B292" s="1">
        <v>200</v>
      </c>
      <c r="D292" s="9" t="s">
        <v>275</v>
      </c>
      <c r="E292" s="8" t="s">
        <v>276</v>
      </c>
      <c r="F292" s="9">
        <v>200</v>
      </c>
      <c r="G292" s="31">
        <v>80</v>
      </c>
    </row>
    <row r="293" spans="1:7" x14ac:dyDescent="0.3">
      <c r="A293" t="s">
        <v>44</v>
      </c>
      <c r="B293" s="1">
        <v>10</v>
      </c>
      <c r="D293" s="9" t="s">
        <v>45</v>
      </c>
      <c r="E293" s="8" t="s">
        <v>46</v>
      </c>
      <c r="F293" s="9">
        <v>10</v>
      </c>
      <c r="G293" s="31">
        <v>899</v>
      </c>
    </row>
    <row r="294" spans="1:7" x14ac:dyDescent="0.3">
      <c r="A294" t="s">
        <v>24</v>
      </c>
      <c r="B294" s="1">
        <v>0.3</v>
      </c>
      <c r="D294" s="9" t="s">
        <v>25</v>
      </c>
      <c r="E294" s="8" t="s">
        <v>26</v>
      </c>
      <c r="F294" s="9">
        <v>0.3</v>
      </c>
      <c r="G294" s="31">
        <v>0</v>
      </c>
    </row>
    <row r="295" spans="1:7" x14ac:dyDescent="0.3">
      <c r="A295" s="3" t="s">
        <v>10</v>
      </c>
      <c r="B295" s="1">
        <v>210.3</v>
      </c>
      <c r="E295" s="10" t="s">
        <v>11</v>
      </c>
      <c r="F295" s="12">
        <f>SUM(F292:F294)</f>
        <v>210.3</v>
      </c>
      <c r="G295" s="84">
        <f>(G292*$F292+G293*$F293+G294*$F294)/$F295</f>
        <v>118.83024251069899</v>
      </c>
    </row>
    <row r="296" spans="1:7" x14ac:dyDescent="0.3">
      <c r="A296" s="3" t="s">
        <v>12</v>
      </c>
      <c r="B296" s="1" t="s">
        <v>13</v>
      </c>
      <c r="E296" s="14"/>
      <c r="F296" s="15"/>
      <c r="G296" s="81"/>
    </row>
    <row r="297" spans="1:7" ht="15.75" customHeight="1" x14ac:dyDescent="0.3">
      <c r="E297" s="17"/>
      <c r="F297" s="1"/>
      <c r="G297" s="79"/>
    </row>
    <row r="298" spans="1:7" ht="15.75" customHeight="1" x14ac:dyDescent="0.3">
      <c r="E298" s="17"/>
      <c r="F298" s="1"/>
      <c r="G298" s="82"/>
    </row>
    <row r="299" spans="1:7" x14ac:dyDescent="0.3">
      <c r="A299" s="3" t="s">
        <v>578</v>
      </c>
    </row>
    <row r="300" spans="1:7" x14ac:dyDescent="0.3">
      <c r="A300" t="s">
        <v>274</v>
      </c>
      <c r="B300" s="1">
        <v>200</v>
      </c>
      <c r="D300" s="9" t="s">
        <v>275</v>
      </c>
      <c r="E300" s="8" t="s">
        <v>276</v>
      </c>
      <c r="F300" s="9">
        <v>200</v>
      </c>
      <c r="G300" s="31">
        <v>80</v>
      </c>
    </row>
    <row r="301" spans="1:7" x14ac:dyDescent="0.3">
      <c r="A301" t="s">
        <v>44</v>
      </c>
      <c r="B301" s="1">
        <v>10</v>
      </c>
      <c r="D301" s="9" t="s">
        <v>45</v>
      </c>
      <c r="E301" s="8" t="s">
        <v>46</v>
      </c>
      <c r="F301" s="9">
        <v>10</v>
      </c>
      <c r="G301" s="31">
        <v>899</v>
      </c>
    </row>
    <row r="302" spans="1:7" x14ac:dyDescent="0.3">
      <c r="A302" t="s">
        <v>47</v>
      </c>
      <c r="B302" s="1">
        <v>2</v>
      </c>
      <c r="D302" s="9" t="s">
        <v>48</v>
      </c>
      <c r="E302" s="8" t="s">
        <v>49</v>
      </c>
      <c r="F302" s="9">
        <v>2</v>
      </c>
      <c r="G302" s="31">
        <v>111</v>
      </c>
    </row>
    <row r="303" spans="1:7" x14ac:dyDescent="0.3">
      <c r="A303" t="s">
        <v>88</v>
      </c>
      <c r="B303" s="1">
        <v>2</v>
      </c>
      <c r="D303" s="9" t="s">
        <v>89</v>
      </c>
      <c r="E303" s="8" t="s">
        <v>90</v>
      </c>
      <c r="F303" s="9">
        <v>2</v>
      </c>
      <c r="G303" s="31">
        <v>45</v>
      </c>
    </row>
    <row r="304" spans="1:7" x14ac:dyDescent="0.3">
      <c r="A304" t="s">
        <v>24</v>
      </c>
      <c r="B304" s="1">
        <v>0.3</v>
      </c>
      <c r="D304" s="9" t="s">
        <v>25</v>
      </c>
      <c r="E304" s="8" t="s">
        <v>26</v>
      </c>
      <c r="F304" s="9">
        <v>0.3</v>
      </c>
      <c r="G304" s="31">
        <v>0</v>
      </c>
    </row>
    <row r="305" spans="1:7" x14ac:dyDescent="0.3">
      <c r="A305" s="3" t="s">
        <v>10</v>
      </c>
      <c r="B305" s="1">
        <v>214.3</v>
      </c>
      <c r="E305" s="10" t="s">
        <v>11</v>
      </c>
      <c r="F305" s="12">
        <f>SUM(F300:F304)</f>
        <v>214.3</v>
      </c>
      <c r="G305" s="84">
        <f>($F300*G300+G301*$F301+G302*$F302+G303*$F303+G304*$F304)/$F305</f>
        <v>118.0681287914139</v>
      </c>
    </row>
    <row r="306" spans="1:7" x14ac:dyDescent="0.3">
      <c r="A306" s="3" t="s">
        <v>12</v>
      </c>
      <c r="B306" s="1" t="s">
        <v>13</v>
      </c>
      <c r="E306" s="14"/>
      <c r="F306" s="15"/>
      <c r="G306" s="81"/>
    </row>
    <row r="307" spans="1:7" x14ac:dyDescent="0.3">
      <c r="E307" s="17"/>
      <c r="F307" s="1"/>
      <c r="G307" s="79"/>
    </row>
    <row r="308" spans="1:7" x14ac:dyDescent="0.3">
      <c r="E308" s="17"/>
      <c r="F308" s="1"/>
      <c r="G308" s="82"/>
    </row>
    <row r="309" spans="1:7" x14ac:dyDescent="0.3">
      <c r="A309" s="3" t="s">
        <v>579</v>
      </c>
    </row>
    <row r="310" spans="1:7" x14ac:dyDescent="0.3">
      <c r="A310" t="s">
        <v>274</v>
      </c>
      <c r="B310" s="1">
        <v>200</v>
      </c>
      <c r="D310" s="9" t="s">
        <v>275</v>
      </c>
      <c r="E310" s="8" t="s">
        <v>276</v>
      </c>
      <c r="F310" s="9">
        <v>200</v>
      </c>
      <c r="G310" s="31">
        <v>80</v>
      </c>
    </row>
    <row r="311" spans="1:7" x14ac:dyDescent="0.3">
      <c r="A311" t="s">
        <v>44</v>
      </c>
      <c r="B311" s="1">
        <v>10</v>
      </c>
      <c r="D311" s="9" t="s">
        <v>45</v>
      </c>
      <c r="E311" s="8" t="s">
        <v>46</v>
      </c>
      <c r="F311" s="9">
        <v>10</v>
      </c>
      <c r="G311" s="31">
        <v>899</v>
      </c>
    </row>
    <row r="312" spans="1:7" x14ac:dyDescent="0.3">
      <c r="A312" t="s">
        <v>105</v>
      </c>
      <c r="B312" s="1">
        <v>2</v>
      </c>
      <c r="D312" s="9" t="s">
        <v>106</v>
      </c>
      <c r="E312" s="8" t="s">
        <v>107</v>
      </c>
      <c r="F312" s="9">
        <v>2</v>
      </c>
      <c r="G312" s="31">
        <v>30</v>
      </c>
    </row>
    <row r="313" spans="1:7" x14ac:dyDescent="0.3">
      <c r="A313" t="s">
        <v>24</v>
      </c>
      <c r="B313" s="1">
        <v>0.3</v>
      </c>
      <c r="D313" s="9" t="s">
        <v>25</v>
      </c>
      <c r="E313" s="8" t="s">
        <v>26</v>
      </c>
      <c r="F313" s="9">
        <v>0.3</v>
      </c>
      <c r="G313" s="31">
        <v>0</v>
      </c>
    </row>
    <row r="314" spans="1:7" x14ac:dyDescent="0.3">
      <c r="A314" s="3" t="s">
        <v>10</v>
      </c>
      <c r="B314" s="1">
        <v>212.3</v>
      </c>
      <c r="E314" s="10" t="s">
        <v>11</v>
      </c>
      <c r="F314" s="12">
        <f>SUM(F310:F313)</f>
        <v>212.3</v>
      </c>
      <c r="G314" s="84">
        <f>(G310*$F310+G311*$F311+G312*$F312+G313*$F313)/$F314</f>
        <v>117.9934055581724</v>
      </c>
    </row>
    <row r="315" spans="1:7" x14ac:dyDescent="0.3">
      <c r="A315" s="3" t="s">
        <v>12</v>
      </c>
      <c r="B315" s="1" t="s">
        <v>13</v>
      </c>
      <c r="E315" s="14" t="s">
        <v>102</v>
      </c>
      <c r="F315" s="15"/>
      <c r="G315" s="81">
        <v>125.53</v>
      </c>
    </row>
    <row r="316" spans="1:7" x14ac:dyDescent="0.3">
      <c r="E316" s="17" t="s">
        <v>570</v>
      </c>
      <c r="F316" s="1" t="s">
        <v>571</v>
      </c>
      <c r="G316" s="79">
        <f t="shared" ref="G316" si="2">G314-G315</f>
        <v>-7.536594441827603</v>
      </c>
    </row>
    <row r="317" spans="1:7" x14ac:dyDescent="0.3">
      <c r="E317" s="17" t="s">
        <v>570</v>
      </c>
      <c r="F317" s="1" t="s">
        <v>572</v>
      </c>
      <c r="G317" s="82">
        <f t="shared" ref="G317" si="3">G316*100/G314</f>
        <v>-6.3873013972055901</v>
      </c>
    </row>
    <row r="318" spans="1:7" x14ac:dyDescent="0.3">
      <c r="A318" s="3" t="s">
        <v>580</v>
      </c>
    </row>
    <row r="319" spans="1:7" x14ac:dyDescent="0.3">
      <c r="A319" t="s">
        <v>274</v>
      </c>
      <c r="B319" s="1">
        <v>200</v>
      </c>
      <c r="D319" s="9" t="s">
        <v>275</v>
      </c>
      <c r="E319" s="8" t="s">
        <v>276</v>
      </c>
      <c r="F319" s="9">
        <v>200</v>
      </c>
      <c r="G319" s="31">
        <v>80</v>
      </c>
    </row>
    <row r="320" spans="1:7" x14ac:dyDescent="0.3">
      <c r="A320" t="s">
        <v>581</v>
      </c>
      <c r="B320" s="1">
        <v>25</v>
      </c>
      <c r="D320" s="9" t="s">
        <v>582</v>
      </c>
      <c r="E320" s="8" t="s">
        <v>583</v>
      </c>
      <c r="F320" s="9">
        <v>25</v>
      </c>
      <c r="G320" s="31">
        <v>900</v>
      </c>
    </row>
    <row r="321" spans="1:7" x14ac:dyDescent="0.3">
      <c r="A321" t="s">
        <v>24</v>
      </c>
      <c r="B321" s="1">
        <v>0.5</v>
      </c>
      <c r="D321" s="9" t="s">
        <v>25</v>
      </c>
      <c r="E321" s="8" t="s">
        <v>26</v>
      </c>
      <c r="F321" s="9">
        <v>0.5</v>
      </c>
      <c r="G321" s="31">
        <v>0</v>
      </c>
    </row>
    <row r="322" spans="1:7" x14ac:dyDescent="0.3">
      <c r="A322" s="3" t="s">
        <v>10</v>
      </c>
      <c r="B322" s="1">
        <v>225.5</v>
      </c>
      <c r="E322" s="10" t="s">
        <v>11</v>
      </c>
      <c r="F322" s="12">
        <f>SUM(F319:F321)</f>
        <v>225.5</v>
      </c>
      <c r="G322" s="84">
        <f>(G319*$F319+G320*$F320+G321*$F321)/$F322</f>
        <v>170.73170731707316</v>
      </c>
    </row>
    <row r="323" spans="1:7" x14ac:dyDescent="0.3">
      <c r="A323" s="3" t="s">
        <v>12</v>
      </c>
      <c r="B323" s="1" t="s">
        <v>13</v>
      </c>
      <c r="E323" s="14"/>
      <c r="F323" s="15"/>
      <c r="G323" s="81"/>
    </row>
    <row r="324" spans="1:7" x14ac:dyDescent="0.3">
      <c r="E324" s="17"/>
      <c r="F324" s="1"/>
      <c r="G324" s="79"/>
    </row>
    <row r="325" spans="1:7" x14ac:dyDescent="0.3">
      <c r="E325" s="17"/>
      <c r="F325" s="1"/>
      <c r="G325" s="82"/>
    </row>
    <row r="326" spans="1:7" x14ac:dyDescent="0.3">
      <c r="A326" s="3" t="s">
        <v>416</v>
      </c>
    </row>
    <row r="327" spans="1:7" x14ac:dyDescent="0.3">
      <c r="A327" t="s">
        <v>845</v>
      </c>
      <c r="B327" s="1">
        <v>150</v>
      </c>
      <c r="D327" s="9" t="s">
        <v>377</v>
      </c>
      <c r="E327" s="8" t="s">
        <v>845</v>
      </c>
      <c r="F327" s="9">
        <v>150</v>
      </c>
      <c r="G327" s="31">
        <v>26</v>
      </c>
    </row>
    <row r="328" spans="1:7" x14ac:dyDescent="0.3">
      <c r="A328" t="s">
        <v>840</v>
      </c>
      <c r="B328" s="1">
        <v>50</v>
      </c>
      <c r="D328" s="9" t="s">
        <v>308</v>
      </c>
      <c r="E328" s="8" t="s">
        <v>840</v>
      </c>
      <c r="F328" s="9">
        <v>50</v>
      </c>
      <c r="G328" s="31">
        <v>21</v>
      </c>
    </row>
    <row r="329" spans="1:7" x14ac:dyDescent="0.3">
      <c r="A329" t="s">
        <v>44</v>
      </c>
      <c r="B329" s="1">
        <v>10</v>
      </c>
      <c r="D329" s="9" t="s">
        <v>45</v>
      </c>
      <c r="E329" s="8" t="s">
        <v>46</v>
      </c>
      <c r="F329" s="9">
        <v>10</v>
      </c>
      <c r="G329" s="31">
        <v>899</v>
      </c>
    </row>
    <row r="330" spans="1:7" x14ac:dyDescent="0.3">
      <c r="A330" t="s">
        <v>98</v>
      </c>
      <c r="B330" s="1">
        <v>2</v>
      </c>
      <c r="D330" s="9" t="s">
        <v>99</v>
      </c>
      <c r="E330" s="8" t="s">
        <v>100</v>
      </c>
      <c r="F330" s="9">
        <v>2</v>
      </c>
      <c r="G330" s="31">
        <v>88</v>
      </c>
    </row>
    <row r="331" spans="1:7" x14ac:dyDescent="0.3">
      <c r="A331" t="s">
        <v>71</v>
      </c>
      <c r="B331" s="1">
        <v>0.1</v>
      </c>
      <c r="D331" s="9" t="s">
        <v>72</v>
      </c>
      <c r="E331" s="8" t="s">
        <v>73</v>
      </c>
      <c r="F331" s="9">
        <v>0.1</v>
      </c>
      <c r="G331" s="31">
        <v>270</v>
      </c>
    </row>
    <row r="332" spans="1:7" x14ac:dyDescent="0.3">
      <c r="A332" t="s">
        <v>24</v>
      </c>
      <c r="B332" s="1">
        <v>0.3</v>
      </c>
      <c r="D332" s="9" t="s">
        <v>25</v>
      </c>
      <c r="E332" s="8" t="s">
        <v>26</v>
      </c>
      <c r="F332" s="9">
        <v>0.3</v>
      </c>
      <c r="G332" s="31">
        <v>0</v>
      </c>
    </row>
    <row r="333" spans="1:7" x14ac:dyDescent="0.3">
      <c r="A333" s="3" t="s">
        <v>10</v>
      </c>
      <c r="B333" s="1">
        <v>212.4</v>
      </c>
      <c r="E333" s="10" t="s">
        <v>11</v>
      </c>
      <c r="F333" s="12">
        <f>SUM(F327:F332)</f>
        <v>212.4</v>
      </c>
      <c r="G333" s="84">
        <f>($F327*G327+$F328*G328+G329*$F329+G330*$F330+G331*$F331+G332*$F332)/$F333</f>
        <v>66.586629001883239</v>
      </c>
    </row>
    <row r="334" spans="1:7" x14ac:dyDescent="0.3">
      <c r="A334" s="3" t="s">
        <v>12</v>
      </c>
      <c r="B334" s="1" t="s">
        <v>13</v>
      </c>
      <c r="E334" s="14"/>
      <c r="F334" s="15"/>
      <c r="G334" s="81"/>
    </row>
    <row r="335" spans="1:7" x14ac:dyDescent="0.3">
      <c r="E335" s="17"/>
      <c r="F335" s="1"/>
      <c r="G335" s="79"/>
    </row>
    <row r="336" spans="1:7" x14ac:dyDescent="0.3">
      <c r="E336" s="17"/>
      <c r="F336" s="1"/>
      <c r="G336" s="82"/>
    </row>
    <row r="337" spans="1:7" x14ac:dyDescent="0.3">
      <c r="A337" s="3" t="s">
        <v>584</v>
      </c>
    </row>
    <row r="338" spans="1:7" x14ac:dyDescent="0.3">
      <c r="A338" t="s">
        <v>845</v>
      </c>
      <c r="B338" s="1">
        <v>200</v>
      </c>
      <c r="D338" s="9" t="s">
        <v>377</v>
      </c>
      <c r="E338" s="8" t="s">
        <v>845</v>
      </c>
      <c r="F338" s="9">
        <v>200</v>
      </c>
      <c r="G338" s="31">
        <v>26</v>
      </c>
    </row>
    <row r="339" spans="1:7" x14ac:dyDescent="0.3">
      <c r="A339" t="s">
        <v>44</v>
      </c>
      <c r="B339" s="1">
        <v>10</v>
      </c>
      <c r="D339" s="9" t="s">
        <v>45</v>
      </c>
      <c r="E339" s="8" t="s">
        <v>46</v>
      </c>
      <c r="F339" s="9">
        <v>10</v>
      </c>
      <c r="G339" s="31">
        <v>899</v>
      </c>
    </row>
    <row r="340" spans="1:7" x14ac:dyDescent="0.3">
      <c r="A340" t="s">
        <v>24</v>
      </c>
      <c r="B340" s="1">
        <v>0.3</v>
      </c>
      <c r="D340" s="9" t="s">
        <v>25</v>
      </c>
      <c r="E340" s="8" t="s">
        <v>26</v>
      </c>
      <c r="F340" s="9">
        <v>0.3</v>
      </c>
      <c r="G340" s="31">
        <v>0</v>
      </c>
    </row>
    <row r="341" spans="1:7" x14ac:dyDescent="0.3">
      <c r="A341" t="s">
        <v>71</v>
      </c>
      <c r="B341" s="1">
        <v>0.1</v>
      </c>
      <c r="D341" s="9" t="s">
        <v>72</v>
      </c>
      <c r="E341" s="8" t="s">
        <v>73</v>
      </c>
      <c r="F341" s="9">
        <v>0.1</v>
      </c>
      <c r="G341" s="31">
        <v>270</v>
      </c>
    </row>
    <row r="342" spans="1:7" x14ac:dyDescent="0.3">
      <c r="A342" s="3" t="s">
        <v>10</v>
      </c>
      <c r="B342" s="1">
        <v>210.4</v>
      </c>
      <c r="E342" s="10" t="s">
        <v>11</v>
      </c>
      <c r="F342" s="12">
        <f>SUM(F338:F341)</f>
        <v>210.4</v>
      </c>
      <c r="G342" s="84">
        <f>(G338*$F338+G339*$F339+G340*$F340+G341*$F341)/$F342</f>
        <v>67.571292775665398</v>
      </c>
    </row>
    <row r="343" spans="1:7" x14ac:dyDescent="0.3">
      <c r="A343" s="3" t="s">
        <v>12</v>
      </c>
      <c r="B343" s="1" t="s">
        <v>13</v>
      </c>
      <c r="E343" s="14"/>
      <c r="F343" s="15"/>
      <c r="G343" s="81"/>
    </row>
    <row r="344" spans="1:7" x14ac:dyDescent="0.3">
      <c r="E344" s="17"/>
      <c r="F344" s="1"/>
      <c r="G344" s="79"/>
    </row>
    <row r="345" spans="1:7" x14ac:dyDescent="0.3">
      <c r="E345" s="17"/>
      <c r="F345" s="1"/>
      <c r="G345" s="82"/>
    </row>
    <row r="346" spans="1:7" x14ac:dyDescent="0.3">
      <c r="A346" s="3" t="s">
        <v>585</v>
      </c>
    </row>
    <row r="347" spans="1:7" x14ac:dyDescent="0.3">
      <c r="A347" t="s">
        <v>192</v>
      </c>
      <c r="B347" s="1">
        <v>150</v>
      </c>
      <c r="D347" s="9" t="s">
        <v>193</v>
      </c>
      <c r="E347" s="8" t="s">
        <v>194</v>
      </c>
      <c r="F347" s="9">
        <v>150</v>
      </c>
      <c r="G347" s="31">
        <v>109</v>
      </c>
    </row>
    <row r="348" spans="1:7" x14ac:dyDescent="0.3">
      <c r="A348" t="s">
        <v>44</v>
      </c>
      <c r="B348" s="1">
        <v>10</v>
      </c>
      <c r="D348" s="9" t="s">
        <v>45</v>
      </c>
      <c r="E348" s="8" t="s">
        <v>46</v>
      </c>
      <c r="F348" s="9">
        <v>10</v>
      </c>
      <c r="G348" s="31">
        <v>899</v>
      </c>
    </row>
    <row r="349" spans="1:7" x14ac:dyDescent="0.3">
      <c r="A349" t="s">
        <v>24</v>
      </c>
      <c r="B349" s="1">
        <v>0.3</v>
      </c>
      <c r="D349" s="9" t="s">
        <v>25</v>
      </c>
      <c r="E349" s="8" t="s">
        <v>26</v>
      </c>
      <c r="F349" s="9">
        <v>0.3</v>
      </c>
      <c r="G349" s="31">
        <v>0</v>
      </c>
    </row>
    <row r="350" spans="1:7" x14ac:dyDescent="0.3">
      <c r="A350" t="s">
        <v>71</v>
      </c>
      <c r="B350" s="1">
        <v>0.1</v>
      </c>
      <c r="D350" s="9" t="s">
        <v>72</v>
      </c>
      <c r="E350" s="8" t="s">
        <v>73</v>
      </c>
      <c r="F350" s="9">
        <v>0.1</v>
      </c>
      <c r="G350" s="31">
        <v>270</v>
      </c>
    </row>
    <row r="351" spans="1:7" x14ac:dyDescent="0.3">
      <c r="A351" t="s">
        <v>98</v>
      </c>
      <c r="B351" s="1">
        <v>2</v>
      </c>
      <c r="D351" s="9" t="s">
        <v>99</v>
      </c>
      <c r="E351" s="8" t="s">
        <v>100</v>
      </c>
      <c r="F351" s="9">
        <v>2</v>
      </c>
      <c r="G351" s="31">
        <v>88</v>
      </c>
    </row>
    <row r="352" spans="1:7" x14ac:dyDescent="0.3">
      <c r="A352" s="3" t="s">
        <v>10</v>
      </c>
      <c r="B352" s="1">
        <v>162.4</v>
      </c>
      <c r="E352" s="10" t="s">
        <v>11</v>
      </c>
      <c r="F352" s="12">
        <f>SUM(F347:F351)</f>
        <v>162.4</v>
      </c>
      <c r="G352" s="84">
        <f>($F347*G347+G348*$F348+G349*$F349+G350*$F350+G351*$F351)/$F352</f>
        <v>157.2844827586207</v>
      </c>
    </row>
    <row r="353" spans="1:7" x14ac:dyDescent="0.3">
      <c r="A353" s="3" t="s">
        <v>12</v>
      </c>
      <c r="B353" s="1" t="s">
        <v>13</v>
      </c>
      <c r="E353" s="14"/>
      <c r="F353" s="15"/>
      <c r="G353" s="81"/>
    </row>
    <row r="354" spans="1:7" x14ac:dyDescent="0.3">
      <c r="E354" s="17"/>
      <c r="F354" s="1"/>
      <c r="G354" s="79"/>
    </row>
    <row r="355" spans="1:7" x14ac:dyDescent="0.3">
      <c r="E355" s="17"/>
      <c r="F355" s="1"/>
      <c r="G355" s="82"/>
    </row>
    <row r="356" spans="1:7" x14ac:dyDescent="0.3">
      <c r="A356" s="3" t="s">
        <v>586</v>
      </c>
    </row>
    <row r="357" spans="1:7" x14ac:dyDescent="0.3">
      <c r="A357" t="s">
        <v>192</v>
      </c>
      <c r="B357" s="1">
        <v>150</v>
      </c>
      <c r="D357" s="9" t="s">
        <v>193</v>
      </c>
      <c r="E357" s="8" t="s">
        <v>194</v>
      </c>
      <c r="F357" s="9">
        <v>150</v>
      </c>
      <c r="G357" s="31">
        <v>109</v>
      </c>
    </row>
    <row r="358" spans="1:7" x14ac:dyDescent="0.3">
      <c r="A358" t="s">
        <v>846</v>
      </c>
      <c r="B358" s="1">
        <v>12</v>
      </c>
      <c r="D358" s="9" t="s">
        <v>307</v>
      </c>
      <c r="E358" s="8" t="s">
        <v>846</v>
      </c>
      <c r="F358" s="9">
        <v>12</v>
      </c>
      <c r="G358" s="31">
        <v>240</v>
      </c>
    </row>
    <row r="359" spans="1:7" x14ac:dyDescent="0.3">
      <c r="A359" t="s">
        <v>587</v>
      </c>
      <c r="B359" s="1">
        <v>5</v>
      </c>
      <c r="D359" s="9" t="s">
        <v>588</v>
      </c>
      <c r="E359" s="8" t="s">
        <v>589</v>
      </c>
      <c r="F359" s="9">
        <v>5</v>
      </c>
      <c r="G359" s="31">
        <v>22</v>
      </c>
    </row>
    <row r="360" spans="1:7" x14ac:dyDescent="0.3">
      <c r="A360" t="s">
        <v>840</v>
      </c>
      <c r="B360" s="1">
        <v>125</v>
      </c>
      <c r="D360" s="9" t="s">
        <v>308</v>
      </c>
      <c r="E360" s="8" t="s">
        <v>840</v>
      </c>
      <c r="F360" s="9">
        <v>125</v>
      </c>
      <c r="G360" s="31">
        <v>21</v>
      </c>
    </row>
    <row r="361" spans="1:7" x14ac:dyDescent="0.3">
      <c r="A361" t="s">
        <v>88</v>
      </c>
      <c r="B361" s="1">
        <v>5</v>
      </c>
      <c r="D361" s="9" t="s">
        <v>89</v>
      </c>
      <c r="E361" s="8" t="s">
        <v>90</v>
      </c>
      <c r="F361" s="9">
        <v>5</v>
      </c>
      <c r="G361" s="31">
        <v>45</v>
      </c>
    </row>
    <row r="362" spans="1:7" x14ac:dyDescent="0.3">
      <c r="A362" t="s">
        <v>44</v>
      </c>
      <c r="B362" s="1">
        <v>10</v>
      </c>
      <c r="D362" s="9" t="s">
        <v>45</v>
      </c>
      <c r="E362" s="8" t="s">
        <v>46</v>
      </c>
      <c r="F362" s="9">
        <v>10</v>
      </c>
      <c r="G362" s="31">
        <v>899</v>
      </c>
    </row>
    <row r="363" spans="1:7" x14ac:dyDescent="0.3">
      <c r="A363" t="s">
        <v>174</v>
      </c>
      <c r="B363" s="1">
        <v>2</v>
      </c>
      <c r="D363" s="9" t="s">
        <v>175</v>
      </c>
      <c r="E363" s="8" t="s">
        <v>176</v>
      </c>
      <c r="F363" s="9">
        <v>2</v>
      </c>
      <c r="G363" s="31">
        <v>49</v>
      </c>
    </row>
    <row r="364" spans="1:7" x14ac:dyDescent="0.3">
      <c r="A364" t="s">
        <v>24</v>
      </c>
      <c r="B364" s="1">
        <v>0.3</v>
      </c>
      <c r="D364" s="9" t="s">
        <v>25</v>
      </c>
      <c r="E364" s="8" t="s">
        <v>26</v>
      </c>
      <c r="F364" s="9">
        <v>0.3</v>
      </c>
      <c r="G364" s="31">
        <v>0</v>
      </c>
    </row>
    <row r="365" spans="1:7" x14ac:dyDescent="0.3">
      <c r="A365" t="s">
        <v>71</v>
      </c>
      <c r="B365" s="1">
        <v>0.1</v>
      </c>
      <c r="D365" s="9" t="s">
        <v>72</v>
      </c>
      <c r="E365" s="8" t="s">
        <v>73</v>
      </c>
      <c r="F365" s="9">
        <v>0.1</v>
      </c>
      <c r="G365" s="31">
        <v>270</v>
      </c>
    </row>
    <row r="366" spans="1:7" x14ac:dyDescent="0.3">
      <c r="A366" s="3" t="s">
        <v>10</v>
      </c>
      <c r="B366" s="1">
        <v>309.39999999999998</v>
      </c>
      <c r="E366" s="10" t="s">
        <v>11</v>
      </c>
      <c r="F366" s="12">
        <f>SUM(F357:F365)</f>
        <v>309.40000000000003</v>
      </c>
      <c r="G366" s="84">
        <f>($F357*G357+$F358*G358+$F359*G359+$F360*G360+$F361*G361+G362*$F362+G363*$F363+G364*$F364+G365*$F365)/$F366</f>
        <v>101.17970265029088</v>
      </c>
    </row>
    <row r="367" spans="1:7" x14ac:dyDescent="0.3">
      <c r="A367" s="3" t="s">
        <v>12</v>
      </c>
      <c r="B367" s="1" t="s">
        <v>13</v>
      </c>
      <c r="E367" s="14"/>
      <c r="F367" s="15"/>
      <c r="G367" s="81"/>
    </row>
    <row r="368" spans="1:7" x14ac:dyDescent="0.3">
      <c r="E368" s="17"/>
      <c r="F368" s="1"/>
      <c r="G368" s="79"/>
    </row>
    <row r="369" spans="1:7" x14ac:dyDescent="0.3">
      <c r="E369" s="17"/>
      <c r="F369" s="1"/>
      <c r="G369" s="82"/>
    </row>
    <row r="370" spans="1:7" x14ac:dyDescent="0.3">
      <c r="A370" s="3" t="s">
        <v>590</v>
      </c>
    </row>
    <row r="371" spans="1:7" x14ac:dyDescent="0.3">
      <c r="A371" t="s">
        <v>436</v>
      </c>
      <c r="B371" s="1">
        <v>100</v>
      </c>
      <c r="D371" s="9" t="s">
        <v>437</v>
      </c>
      <c r="E371" s="8" t="s">
        <v>438</v>
      </c>
      <c r="F371" s="9">
        <v>100</v>
      </c>
      <c r="G371" s="31">
        <v>100</v>
      </c>
    </row>
    <row r="372" spans="1:7" x14ac:dyDescent="0.3">
      <c r="A372" t="s">
        <v>44</v>
      </c>
      <c r="B372" s="1">
        <v>10</v>
      </c>
      <c r="D372" s="9" t="s">
        <v>45</v>
      </c>
      <c r="E372" s="8" t="s">
        <v>46</v>
      </c>
      <c r="F372" s="9">
        <v>10</v>
      </c>
      <c r="G372" s="31">
        <v>899</v>
      </c>
    </row>
    <row r="373" spans="1:7" x14ac:dyDescent="0.3">
      <c r="A373" t="s">
        <v>98</v>
      </c>
      <c r="B373" s="1">
        <v>2</v>
      </c>
      <c r="D373" s="9" t="s">
        <v>99</v>
      </c>
      <c r="E373" s="8" t="s">
        <v>100</v>
      </c>
      <c r="F373" s="9">
        <v>2</v>
      </c>
      <c r="G373" s="31">
        <v>88</v>
      </c>
    </row>
    <row r="374" spans="1:7" x14ac:dyDescent="0.3">
      <c r="A374" t="s">
        <v>24</v>
      </c>
      <c r="B374" s="1">
        <v>0.3</v>
      </c>
      <c r="D374" s="9" t="s">
        <v>25</v>
      </c>
      <c r="E374" s="8" t="s">
        <v>26</v>
      </c>
      <c r="F374" s="9">
        <v>0.3</v>
      </c>
      <c r="G374" s="31">
        <v>0</v>
      </c>
    </row>
    <row r="375" spans="1:7" x14ac:dyDescent="0.3">
      <c r="A375" t="s">
        <v>71</v>
      </c>
      <c r="B375" s="1">
        <v>0.1</v>
      </c>
      <c r="D375" s="9" t="s">
        <v>72</v>
      </c>
      <c r="E375" s="8" t="s">
        <v>73</v>
      </c>
      <c r="F375" s="9">
        <v>0.1</v>
      </c>
      <c r="G375" s="31">
        <v>270</v>
      </c>
    </row>
    <row r="376" spans="1:7" x14ac:dyDescent="0.3">
      <c r="A376" s="3" t="s">
        <v>10</v>
      </c>
      <c r="B376" s="1">
        <v>112.4</v>
      </c>
      <c r="E376" s="10" t="s">
        <v>11</v>
      </c>
      <c r="F376" s="12">
        <f>SUM(F371:F375)</f>
        <v>112.39999999999999</v>
      </c>
      <c r="G376" s="84">
        <f>($F371*G371+G372*$F372+G373*$F373+G374*$F374+G375*$F375)/$F376</f>
        <v>170.75622775800713</v>
      </c>
    </row>
    <row r="377" spans="1:7" x14ac:dyDescent="0.3">
      <c r="A377" s="3" t="s">
        <v>12</v>
      </c>
      <c r="B377" s="1" t="s">
        <v>13</v>
      </c>
      <c r="E377" s="14"/>
      <c r="F377" s="15"/>
      <c r="G377" s="81"/>
    </row>
    <row r="378" spans="1:7" x14ac:dyDescent="0.3">
      <c r="E378" s="17"/>
      <c r="F378" s="1"/>
      <c r="G378" s="79"/>
    </row>
    <row r="379" spans="1:7" x14ac:dyDescent="0.3">
      <c r="E379" s="17"/>
      <c r="F379" s="1"/>
      <c r="G379" s="82"/>
    </row>
    <row r="380" spans="1:7" x14ac:dyDescent="0.3">
      <c r="A380" s="3" t="s">
        <v>591</v>
      </c>
    </row>
    <row r="381" spans="1:7" x14ac:dyDescent="0.3">
      <c r="A381" t="s">
        <v>436</v>
      </c>
      <c r="B381" s="1">
        <v>100</v>
      </c>
      <c r="D381" s="9" t="s">
        <v>437</v>
      </c>
      <c r="E381" s="8" t="s">
        <v>438</v>
      </c>
      <c r="F381" s="9">
        <v>100</v>
      </c>
      <c r="G381" s="31">
        <v>100</v>
      </c>
    </row>
    <row r="382" spans="1:7" x14ac:dyDescent="0.3">
      <c r="A382" t="s">
        <v>63</v>
      </c>
      <c r="B382" s="1">
        <v>10</v>
      </c>
      <c r="D382" s="9" t="s">
        <v>64</v>
      </c>
      <c r="E382" s="8" t="s">
        <v>65</v>
      </c>
      <c r="F382" s="9">
        <v>10</v>
      </c>
      <c r="G382" s="31">
        <v>758</v>
      </c>
    </row>
    <row r="383" spans="1:7" x14ac:dyDescent="0.3">
      <c r="A383" t="s">
        <v>66</v>
      </c>
      <c r="B383" s="1">
        <v>5</v>
      </c>
      <c r="D383" s="9" t="s">
        <v>67</v>
      </c>
      <c r="E383" s="8" t="s">
        <v>68</v>
      </c>
      <c r="F383" s="9">
        <v>5</v>
      </c>
      <c r="G383" s="31">
        <v>323</v>
      </c>
    </row>
    <row r="384" spans="1:7" x14ac:dyDescent="0.3">
      <c r="A384" t="s">
        <v>98</v>
      </c>
      <c r="B384" s="1">
        <v>2</v>
      </c>
      <c r="D384" s="9" t="s">
        <v>99</v>
      </c>
      <c r="E384" s="8" t="s">
        <v>100</v>
      </c>
      <c r="F384" s="9">
        <v>2</v>
      </c>
      <c r="G384" s="31">
        <v>88</v>
      </c>
    </row>
    <row r="385" spans="1:7" x14ac:dyDescent="0.3">
      <c r="A385" t="s">
        <v>71</v>
      </c>
      <c r="B385" s="1">
        <v>0.1</v>
      </c>
      <c r="D385" s="9" t="s">
        <v>72</v>
      </c>
      <c r="E385" s="8" t="s">
        <v>73</v>
      </c>
      <c r="F385" s="9">
        <v>0.1</v>
      </c>
      <c r="G385" s="31">
        <v>270</v>
      </c>
    </row>
    <row r="386" spans="1:7" x14ac:dyDescent="0.3">
      <c r="A386" t="s">
        <v>24</v>
      </c>
      <c r="B386" s="1">
        <v>0.3</v>
      </c>
      <c r="D386" s="9" t="s">
        <v>25</v>
      </c>
      <c r="E386" s="8" t="s">
        <v>26</v>
      </c>
      <c r="F386" s="9">
        <v>0.3</v>
      </c>
      <c r="G386" s="31">
        <v>0</v>
      </c>
    </row>
    <row r="387" spans="1:7" x14ac:dyDescent="0.3">
      <c r="A387" s="3" t="s">
        <v>10</v>
      </c>
      <c r="B387" s="1">
        <v>117.4</v>
      </c>
      <c r="E387" s="10" t="s">
        <v>11</v>
      </c>
      <c r="F387" s="12">
        <f>SUM(F381:F386)</f>
        <v>117.39999999999999</v>
      </c>
      <c r="G387" s="84">
        <f>($F381*G381+$F382*G382+G383*$F383+G384*$F384+G385*$F385+G386*$F386)/$F387</f>
        <v>165.22998296422489</v>
      </c>
    </row>
    <row r="388" spans="1:7" x14ac:dyDescent="0.3">
      <c r="A388" s="3" t="s">
        <v>12</v>
      </c>
      <c r="B388" s="1" t="s">
        <v>13</v>
      </c>
      <c r="E388" s="14"/>
      <c r="F388" s="15"/>
      <c r="G388" s="81"/>
    </row>
    <row r="389" spans="1:7" x14ac:dyDescent="0.3">
      <c r="E389" s="17"/>
      <c r="F389" s="1"/>
      <c r="G389" s="79"/>
    </row>
    <row r="390" spans="1:7" x14ac:dyDescent="0.3">
      <c r="E390" s="17"/>
      <c r="F390" s="1"/>
      <c r="G390" s="82"/>
    </row>
    <row r="391" spans="1:7" x14ac:dyDescent="0.3">
      <c r="A391" s="3" t="s">
        <v>592</v>
      </c>
    </row>
    <row r="392" spans="1:7" x14ac:dyDescent="0.3">
      <c r="A392" t="s">
        <v>593</v>
      </c>
      <c r="B392" s="1">
        <v>100</v>
      </c>
      <c r="D392" s="9" t="s">
        <v>594</v>
      </c>
      <c r="E392" s="8" t="s">
        <v>595</v>
      </c>
      <c r="F392" s="9">
        <v>100</v>
      </c>
      <c r="G392" s="31">
        <v>107</v>
      </c>
    </row>
    <row r="393" spans="1:7" x14ac:dyDescent="0.3">
      <c r="A393" t="s">
        <v>44</v>
      </c>
      <c r="B393" s="1">
        <v>10</v>
      </c>
      <c r="D393" s="9" t="s">
        <v>45</v>
      </c>
      <c r="E393" s="8" t="s">
        <v>46</v>
      </c>
      <c r="F393" s="9">
        <v>10</v>
      </c>
      <c r="G393" s="31">
        <v>899</v>
      </c>
    </row>
    <row r="394" spans="1:7" x14ac:dyDescent="0.3">
      <c r="A394" t="s">
        <v>98</v>
      </c>
      <c r="B394" s="1">
        <v>2</v>
      </c>
      <c r="D394" s="9" t="s">
        <v>99</v>
      </c>
      <c r="E394" s="8" t="s">
        <v>100</v>
      </c>
      <c r="F394" s="9">
        <v>2</v>
      </c>
      <c r="G394" s="31">
        <v>88</v>
      </c>
    </row>
    <row r="395" spans="1:7" x14ac:dyDescent="0.3">
      <c r="A395" t="s">
        <v>24</v>
      </c>
      <c r="B395" s="1">
        <v>0.3</v>
      </c>
      <c r="D395" s="9" t="s">
        <v>25</v>
      </c>
      <c r="E395" s="8" t="s">
        <v>26</v>
      </c>
      <c r="F395" s="9">
        <v>0.3</v>
      </c>
      <c r="G395" s="31">
        <v>0</v>
      </c>
    </row>
    <row r="396" spans="1:7" x14ac:dyDescent="0.3">
      <c r="A396" t="s">
        <v>71</v>
      </c>
      <c r="B396" s="1">
        <v>0.1</v>
      </c>
      <c r="D396" s="9" t="s">
        <v>72</v>
      </c>
      <c r="E396" s="8" t="s">
        <v>73</v>
      </c>
      <c r="F396" s="9">
        <v>0.1</v>
      </c>
      <c r="G396" s="31">
        <v>270</v>
      </c>
    </row>
    <row r="397" spans="1:7" x14ac:dyDescent="0.3">
      <c r="A397" s="3" t="s">
        <v>10</v>
      </c>
      <c r="B397" s="1">
        <v>112.4</v>
      </c>
      <c r="E397" s="10" t="s">
        <v>11</v>
      </c>
      <c r="F397" s="12">
        <f>SUM(F392:F396)</f>
        <v>112.39999999999999</v>
      </c>
      <c r="G397" s="84">
        <f>($F392*G392+G393*$F393+G394*$F394+G395*$F395+G396*$F396)/$F397</f>
        <v>176.98398576512457</v>
      </c>
    </row>
    <row r="398" spans="1:7" x14ac:dyDescent="0.3">
      <c r="A398" s="3" t="s">
        <v>12</v>
      </c>
      <c r="B398" s="1" t="s">
        <v>13</v>
      </c>
      <c r="E398" s="14"/>
      <c r="F398" s="15"/>
      <c r="G398" s="81"/>
    </row>
    <row r="399" spans="1:7" x14ac:dyDescent="0.3">
      <c r="E399" s="17"/>
      <c r="F399" s="1"/>
      <c r="G399" s="79"/>
    </row>
    <row r="400" spans="1:7" x14ac:dyDescent="0.3">
      <c r="E400" s="17"/>
      <c r="F400" s="1"/>
      <c r="G400" s="82"/>
    </row>
    <row r="401" spans="1:7" x14ac:dyDescent="0.3">
      <c r="A401" s="3" t="s">
        <v>596</v>
      </c>
    </row>
    <row r="402" spans="1:7" x14ac:dyDescent="0.3">
      <c r="A402" t="s">
        <v>593</v>
      </c>
      <c r="B402" s="1">
        <v>100</v>
      </c>
      <c r="D402" s="9" t="s">
        <v>594</v>
      </c>
      <c r="E402" s="8" t="s">
        <v>595</v>
      </c>
      <c r="F402" s="9">
        <v>100</v>
      </c>
      <c r="G402" s="31">
        <v>107</v>
      </c>
    </row>
    <row r="403" spans="1:7" x14ac:dyDescent="0.3">
      <c r="A403" t="s">
        <v>63</v>
      </c>
      <c r="B403" s="1">
        <v>10</v>
      </c>
      <c r="D403" s="9" t="s">
        <v>64</v>
      </c>
      <c r="E403" s="8" t="s">
        <v>65</v>
      </c>
      <c r="F403" s="9">
        <v>10</v>
      </c>
      <c r="G403" s="31">
        <v>758</v>
      </c>
    </row>
    <row r="404" spans="1:7" x14ac:dyDescent="0.3">
      <c r="A404" t="s">
        <v>66</v>
      </c>
      <c r="B404" s="1">
        <v>5</v>
      </c>
      <c r="D404" s="9" t="s">
        <v>67</v>
      </c>
      <c r="E404" s="8" t="s">
        <v>68</v>
      </c>
      <c r="F404" s="9">
        <v>5</v>
      </c>
      <c r="G404" s="31">
        <v>348</v>
      </c>
    </row>
    <row r="405" spans="1:7" x14ac:dyDescent="0.3">
      <c r="A405" t="s">
        <v>98</v>
      </c>
      <c r="B405" s="1">
        <v>2</v>
      </c>
      <c r="D405" s="9" t="s">
        <v>99</v>
      </c>
      <c r="E405" s="8" t="s">
        <v>100</v>
      </c>
      <c r="F405" s="9">
        <v>2</v>
      </c>
      <c r="G405" s="31">
        <v>88</v>
      </c>
    </row>
    <row r="406" spans="1:7" x14ac:dyDescent="0.3">
      <c r="A406" t="s">
        <v>71</v>
      </c>
      <c r="B406" s="1">
        <v>0.1</v>
      </c>
      <c r="D406" s="9" t="s">
        <v>72</v>
      </c>
      <c r="E406" s="8" t="s">
        <v>73</v>
      </c>
      <c r="F406" s="9">
        <v>0.1</v>
      </c>
      <c r="G406" s="31">
        <v>270</v>
      </c>
    </row>
    <row r="407" spans="1:7" x14ac:dyDescent="0.3">
      <c r="A407" t="s">
        <v>24</v>
      </c>
      <c r="B407" s="1">
        <v>0.3</v>
      </c>
      <c r="D407" s="9" t="s">
        <v>25</v>
      </c>
      <c r="E407" s="8" t="s">
        <v>26</v>
      </c>
      <c r="F407" s="9">
        <v>0.3</v>
      </c>
      <c r="G407" s="31">
        <v>0</v>
      </c>
    </row>
    <row r="408" spans="1:7" x14ac:dyDescent="0.3">
      <c r="A408" s="3" t="s">
        <v>10</v>
      </c>
      <c r="B408" s="1">
        <v>117.4</v>
      </c>
      <c r="E408" s="10" t="s">
        <v>11</v>
      </c>
      <c r="F408" s="12">
        <f>SUM(F402:F407)</f>
        <v>117.39999999999999</v>
      </c>
      <c r="G408" s="84">
        <f>($F402*G402+$F403*G403+G404*$F404+G405*$F405+G406*$F406+G407*$F407)/$F408</f>
        <v>172.25724020442931</v>
      </c>
    </row>
    <row r="409" spans="1:7" x14ac:dyDescent="0.3">
      <c r="A409" s="3" t="s">
        <v>12</v>
      </c>
      <c r="B409" s="1" t="s">
        <v>13</v>
      </c>
      <c r="E409" s="14"/>
      <c r="F409" s="15"/>
      <c r="G409" s="81"/>
    </row>
    <row r="410" spans="1:7" x14ac:dyDescent="0.3">
      <c r="E410" s="17"/>
      <c r="F410" s="1"/>
      <c r="G410" s="79"/>
    </row>
    <row r="411" spans="1:7" x14ac:dyDescent="0.3">
      <c r="E411" s="17"/>
      <c r="F411" s="1"/>
      <c r="G411" s="82"/>
    </row>
    <row r="412" spans="1:7" x14ac:dyDescent="0.3">
      <c r="A412" s="3" t="s">
        <v>597</v>
      </c>
    </row>
    <row r="413" spans="1:7" x14ac:dyDescent="0.3">
      <c r="A413" t="s">
        <v>598</v>
      </c>
      <c r="B413" s="1">
        <v>75</v>
      </c>
      <c r="D413" s="65" t="s">
        <v>599</v>
      </c>
      <c r="E413" s="46" t="s">
        <v>600</v>
      </c>
      <c r="F413" s="9">
        <v>75</v>
      </c>
      <c r="G413" s="17">
        <v>350</v>
      </c>
    </row>
    <row r="414" spans="1:7" x14ac:dyDescent="0.3">
      <c r="A414" t="s">
        <v>847</v>
      </c>
      <c r="B414" s="1">
        <v>25</v>
      </c>
      <c r="D414" s="9" t="s">
        <v>601</v>
      </c>
      <c r="E414" s="8" t="s">
        <v>847</v>
      </c>
      <c r="F414" s="9">
        <v>25</v>
      </c>
      <c r="G414" s="31">
        <v>320</v>
      </c>
    </row>
    <row r="415" spans="1:7" x14ac:dyDescent="0.3">
      <c r="A415" t="s">
        <v>832</v>
      </c>
      <c r="B415" s="1">
        <v>50</v>
      </c>
      <c r="D415" s="65" t="s">
        <v>602</v>
      </c>
      <c r="E415" s="8" t="s">
        <v>832</v>
      </c>
      <c r="F415" s="9">
        <v>50</v>
      </c>
      <c r="G415" s="17">
        <v>300</v>
      </c>
    </row>
    <row r="416" spans="1:7" x14ac:dyDescent="0.3">
      <c r="A416" s="3" t="s">
        <v>10</v>
      </c>
      <c r="B416" s="1">
        <v>150</v>
      </c>
      <c r="E416" s="10" t="s">
        <v>11</v>
      </c>
      <c r="F416" s="12">
        <f>SUM(F413:F415)</f>
        <v>150</v>
      </c>
      <c r="G416" s="84">
        <f>(G413*$F413+G414*$F414+G415*$F415)/$F416</f>
        <v>328.33333333333331</v>
      </c>
    </row>
    <row r="417" spans="1:7" x14ac:dyDescent="0.3">
      <c r="A417" s="3" t="s">
        <v>12</v>
      </c>
      <c r="B417" s="1" t="s">
        <v>13</v>
      </c>
      <c r="E417" s="14"/>
      <c r="F417" s="15"/>
      <c r="G417" s="81"/>
    </row>
    <row r="418" spans="1:7" x14ac:dyDescent="0.3">
      <c r="E418" s="17"/>
      <c r="F418" s="1"/>
      <c r="G418" s="79"/>
    </row>
    <row r="419" spans="1:7" x14ac:dyDescent="0.3">
      <c r="E419" s="17"/>
      <c r="F419" s="1"/>
      <c r="G419" s="82"/>
    </row>
    <row r="420" spans="1:7" x14ac:dyDescent="0.3">
      <c r="A420" s="3" t="s">
        <v>604</v>
      </c>
    </row>
    <row r="421" spans="1:7" x14ac:dyDescent="0.3">
      <c r="A421" t="s">
        <v>840</v>
      </c>
      <c r="B421" s="1">
        <v>30</v>
      </c>
      <c r="D421" s="9" t="s">
        <v>308</v>
      </c>
      <c r="E421" s="8" t="s">
        <v>840</v>
      </c>
      <c r="F421" s="9">
        <v>30</v>
      </c>
      <c r="G421" s="31">
        <v>21</v>
      </c>
    </row>
    <row r="422" spans="1:7" x14ac:dyDescent="0.3">
      <c r="A422" t="s">
        <v>123</v>
      </c>
      <c r="B422" s="1">
        <v>30</v>
      </c>
      <c r="D422" s="9" t="s">
        <v>124</v>
      </c>
      <c r="E422" s="8" t="s">
        <v>125</v>
      </c>
      <c r="F422" s="9">
        <v>30</v>
      </c>
      <c r="G422" s="31">
        <v>39</v>
      </c>
    </row>
    <row r="423" spans="1:7" x14ac:dyDescent="0.3">
      <c r="A423" t="s">
        <v>383</v>
      </c>
      <c r="B423" s="1">
        <v>20</v>
      </c>
      <c r="D423" s="9" t="s">
        <v>384</v>
      </c>
      <c r="E423" s="8" t="s">
        <v>385</v>
      </c>
      <c r="F423" s="9">
        <v>20</v>
      </c>
      <c r="G423" s="31">
        <v>15</v>
      </c>
    </row>
    <row r="424" spans="1:7" x14ac:dyDescent="0.3">
      <c r="A424" t="s">
        <v>314</v>
      </c>
      <c r="B424" s="1">
        <v>30</v>
      </c>
      <c r="D424" s="9" t="s">
        <v>315</v>
      </c>
      <c r="E424" s="8" t="s">
        <v>316</v>
      </c>
      <c r="F424" s="9">
        <v>30</v>
      </c>
      <c r="G424" s="31">
        <v>13</v>
      </c>
    </row>
    <row r="425" spans="1:7" x14ac:dyDescent="0.3">
      <c r="A425" t="s">
        <v>845</v>
      </c>
      <c r="B425" s="1">
        <v>30</v>
      </c>
      <c r="D425" s="9" t="s">
        <v>377</v>
      </c>
      <c r="E425" s="8" t="s">
        <v>845</v>
      </c>
      <c r="F425" s="9">
        <v>30</v>
      </c>
      <c r="G425" s="31">
        <v>26</v>
      </c>
    </row>
    <row r="426" spans="1:7" x14ac:dyDescent="0.3">
      <c r="A426" t="s">
        <v>605</v>
      </c>
      <c r="B426" s="1">
        <v>30</v>
      </c>
      <c r="D426" s="9" t="s">
        <v>127</v>
      </c>
      <c r="E426" s="8" t="s">
        <v>128</v>
      </c>
      <c r="F426" s="9">
        <v>30</v>
      </c>
      <c r="G426" s="31">
        <v>28</v>
      </c>
    </row>
    <row r="427" spans="1:7" x14ac:dyDescent="0.3">
      <c r="A427" t="s">
        <v>506</v>
      </c>
      <c r="B427" s="1">
        <v>30</v>
      </c>
      <c r="D427" s="9" t="s">
        <v>507</v>
      </c>
      <c r="E427" s="8" t="s">
        <v>508</v>
      </c>
      <c r="F427" s="9">
        <v>30</v>
      </c>
      <c r="G427" s="31">
        <v>13</v>
      </c>
    </row>
    <row r="428" spans="1:7" x14ac:dyDescent="0.3">
      <c r="A428" t="s">
        <v>44</v>
      </c>
      <c r="B428" s="1">
        <v>10</v>
      </c>
      <c r="D428" s="9" t="s">
        <v>45</v>
      </c>
      <c r="E428" s="8" t="s">
        <v>46</v>
      </c>
      <c r="F428" s="9">
        <v>10</v>
      </c>
      <c r="G428" s="31">
        <v>899</v>
      </c>
    </row>
    <row r="429" spans="1:7" x14ac:dyDescent="0.3">
      <c r="A429" t="s">
        <v>24</v>
      </c>
      <c r="B429" s="1">
        <v>0.3</v>
      </c>
      <c r="D429" s="9" t="s">
        <v>25</v>
      </c>
      <c r="E429" s="8" t="s">
        <v>26</v>
      </c>
      <c r="F429" s="9">
        <v>0.3</v>
      </c>
      <c r="G429" s="31">
        <v>0</v>
      </c>
    </row>
    <row r="430" spans="1:7" x14ac:dyDescent="0.3">
      <c r="A430" t="s">
        <v>21</v>
      </c>
      <c r="B430" s="1">
        <v>5</v>
      </c>
      <c r="D430" s="9" t="s">
        <v>22</v>
      </c>
      <c r="E430" s="8" t="s">
        <v>23</v>
      </c>
      <c r="F430" s="9">
        <v>5</v>
      </c>
      <c r="G430" s="31">
        <v>4</v>
      </c>
    </row>
    <row r="431" spans="1:7" x14ac:dyDescent="0.3">
      <c r="A431" s="3" t="s">
        <v>10</v>
      </c>
      <c r="B431" s="1">
        <v>215.3</v>
      </c>
      <c r="E431" s="10" t="s">
        <v>11</v>
      </c>
      <c r="F431" s="12">
        <f>SUM(F421:F430)</f>
        <v>215.3</v>
      </c>
      <c r="G431" s="84">
        <f>($F421*G421+$F422*G422+$F423*G423+$F424*G424+$F425*G425+$F426*G426+G427*$F427+G428*$F428+G429*$F429+G430*$F430)/$F431</f>
        <v>62.749651648862049</v>
      </c>
    </row>
    <row r="432" spans="1:7" x14ac:dyDescent="0.3">
      <c r="A432" s="3" t="s">
        <v>12</v>
      </c>
      <c r="B432" s="1" t="s">
        <v>13</v>
      </c>
      <c r="E432" s="14"/>
      <c r="F432" s="15"/>
      <c r="G432" s="81"/>
    </row>
    <row r="433" spans="1:7" x14ac:dyDescent="0.3">
      <c r="E433" s="17"/>
      <c r="F433" s="1"/>
      <c r="G433" s="79"/>
    </row>
    <row r="434" spans="1:7" x14ac:dyDescent="0.3">
      <c r="E434" s="17"/>
      <c r="F434" s="1"/>
      <c r="G434" s="82"/>
    </row>
    <row r="435" spans="1:7" x14ac:dyDescent="0.3">
      <c r="A435" s="3" t="s">
        <v>606</v>
      </c>
    </row>
    <row r="436" spans="1:7" x14ac:dyDescent="0.3">
      <c r="A436" t="s">
        <v>270</v>
      </c>
      <c r="B436" s="1">
        <v>150</v>
      </c>
      <c r="D436" s="9" t="s">
        <v>271</v>
      </c>
      <c r="E436" s="8" t="s">
        <v>272</v>
      </c>
      <c r="F436" s="9">
        <v>150</v>
      </c>
      <c r="G436" s="31">
        <v>70</v>
      </c>
    </row>
    <row r="437" spans="1:7" x14ac:dyDescent="0.3">
      <c r="A437" t="s">
        <v>126</v>
      </c>
      <c r="B437" s="1">
        <v>15</v>
      </c>
      <c r="D437" s="9" t="s">
        <v>127</v>
      </c>
      <c r="E437" s="8" t="s">
        <v>128</v>
      </c>
      <c r="F437" s="9">
        <v>15</v>
      </c>
      <c r="G437" s="31">
        <v>28</v>
      </c>
    </row>
    <row r="438" spans="1:7" x14ac:dyDescent="0.3">
      <c r="A438" t="s">
        <v>44</v>
      </c>
      <c r="B438" s="1">
        <v>10</v>
      </c>
      <c r="D438" s="9" t="s">
        <v>45</v>
      </c>
      <c r="E438" s="8" t="s">
        <v>46</v>
      </c>
      <c r="F438" s="9">
        <v>10</v>
      </c>
      <c r="G438" s="31">
        <v>899</v>
      </c>
    </row>
    <row r="439" spans="1:7" x14ac:dyDescent="0.3">
      <c r="A439" t="s">
        <v>411</v>
      </c>
      <c r="B439" s="1">
        <v>20</v>
      </c>
      <c r="D439" s="9" t="s">
        <v>412</v>
      </c>
      <c r="E439" s="8" t="s">
        <v>413</v>
      </c>
      <c r="F439" s="9">
        <v>20</v>
      </c>
      <c r="G439" s="31">
        <v>215</v>
      </c>
    </row>
    <row r="440" spans="1:7" x14ac:dyDescent="0.3">
      <c r="A440" t="s">
        <v>41</v>
      </c>
      <c r="B440" s="1">
        <v>50</v>
      </c>
      <c r="D440" s="9" t="s">
        <v>42</v>
      </c>
      <c r="E440" s="8" t="s">
        <v>43</v>
      </c>
      <c r="F440" s="9">
        <v>50</v>
      </c>
      <c r="G440" s="31">
        <v>6</v>
      </c>
    </row>
    <row r="441" spans="1:7" x14ac:dyDescent="0.3">
      <c r="A441" t="s">
        <v>71</v>
      </c>
      <c r="B441" s="1">
        <v>0.1</v>
      </c>
      <c r="D441" s="9" t="s">
        <v>72</v>
      </c>
      <c r="E441" s="8" t="s">
        <v>73</v>
      </c>
      <c r="F441" s="9">
        <v>0.1</v>
      </c>
      <c r="G441" s="31">
        <v>270</v>
      </c>
    </row>
    <row r="442" spans="1:7" x14ac:dyDescent="0.3">
      <c r="A442" s="3" t="s">
        <v>10</v>
      </c>
      <c r="B442" s="1">
        <v>245.1</v>
      </c>
      <c r="E442" s="10" t="s">
        <v>11</v>
      </c>
      <c r="F442" s="12">
        <f>SUM(F436:F441)</f>
        <v>245.1</v>
      </c>
      <c r="G442" s="84">
        <f>($F436*G436+$F437*G437+G438*$F438+G439*$F439+G440*$F440+G441*$F441)/$F442</f>
        <v>100.11015911872705</v>
      </c>
    </row>
    <row r="443" spans="1:7" x14ac:dyDescent="0.3">
      <c r="A443" s="3" t="s">
        <v>12</v>
      </c>
      <c r="B443" s="1" t="s">
        <v>13</v>
      </c>
      <c r="E443" s="14"/>
      <c r="F443" s="15"/>
      <c r="G443" s="81"/>
    </row>
    <row r="444" spans="1:7" x14ac:dyDescent="0.3">
      <c r="E444" s="17"/>
      <c r="F444" s="1"/>
      <c r="G444" s="79"/>
    </row>
    <row r="445" spans="1:7" x14ac:dyDescent="0.3">
      <c r="E445" s="17"/>
      <c r="F445" s="1"/>
      <c r="G445" s="82"/>
    </row>
    <row r="446" spans="1:7" x14ac:dyDescent="0.3">
      <c r="A446" s="3" t="s">
        <v>607</v>
      </c>
    </row>
    <row r="447" spans="1:7" x14ac:dyDescent="0.3">
      <c r="A447" t="s">
        <v>270</v>
      </c>
      <c r="B447" s="1">
        <v>150</v>
      </c>
      <c r="D447" s="9" t="s">
        <v>271</v>
      </c>
      <c r="E447" s="8" t="s">
        <v>272</v>
      </c>
      <c r="F447" s="9">
        <v>150</v>
      </c>
      <c r="G447" s="31">
        <v>70</v>
      </c>
    </row>
    <row r="448" spans="1:7" x14ac:dyDescent="0.3">
      <c r="A448" t="s">
        <v>44</v>
      </c>
      <c r="B448" s="1">
        <v>10</v>
      </c>
      <c r="D448" s="9" t="s">
        <v>45</v>
      </c>
      <c r="E448" s="8" t="s">
        <v>46</v>
      </c>
      <c r="F448" s="9">
        <v>10</v>
      </c>
      <c r="G448" s="31">
        <v>899</v>
      </c>
    </row>
    <row r="449" spans="1:7" x14ac:dyDescent="0.3">
      <c r="A449" t="s">
        <v>126</v>
      </c>
      <c r="B449" s="1">
        <v>30</v>
      </c>
      <c r="D449" s="9" t="s">
        <v>127</v>
      </c>
      <c r="E449" s="8" t="s">
        <v>128</v>
      </c>
      <c r="F449" s="9">
        <v>30</v>
      </c>
      <c r="G449" s="31">
        <v>28</v>
      </c>
    </row>
    <row r="450" spans="1:7" x14ac:dyDescent="0.3">
      <c r="A450" t="s">
        <v>71</v>
      </c>
      <c r="B450" s="1">
        <v>0.1</v>
      </c>
      <c r="D450" s="9" t="s">
        <v>72</v>
      </c>
      <c r="E450" s="8" t="s">
        <v>73</v>
      </c>
      <c r="F450" s="9">
        <v>0.1</v>
      </c>
      <c r="G450" s="31">
        <v>270</v>
      </c>
    </row>
    <row r="451" spans="1:7" x14ac:dyDescent="0.3">
      <c r="A451" t="s">
        <v>41</v>
      </c>
      <c r="B451" s="1">
        <v>50</v>
      </c>
      <c r="D451" s="9" t="s">
        <v>42</v>
      </c>
      <c r="E451" s="8" t="s">
        <v>43</v>
      </c>
      <c r="F451" s="9">
        <v>50</v>
      </c>
      <c r="G451" s="31">
        <v>6</v>
      </c>
    </row>
    <row r="452" spans="1:7" x14ac:dyDescent="0.3">
      <c r="A452" s="3" t="s">
        <v>10</v>
      </c>
      <c r="B452" s="1">
        <v>240.1</v>
      </c>
      <c r="E452" s="10" t="s">
        <v>11</v>
      </c>
      <c r="F452" s="12">
        <f>SUM(F447:F451)</f>
        <v>240.1</v>
      </c>
      <c r="G452" s="84">
        <f>($F447*G447+G448*$F448+G449*$F449+G450*$F450+G451*$F451)/$F452</f>
        <v>86.034985422740533</v>
      </c>
    </row>
    <row r="453" spans="1:7" x14ac:dyDescent="0.3">
      <c r="A453" s="3" t="s">
        <v>12</v>
      </c>
      <c r="B453" s="1" t="s">
        <v>13</v>
      </c>
      <c r="E453" s="14"/>
      <c r="F453" s="15"/>
      <c r="G453" s="81"/>
    </row>
    <row r="454" spans="1:7" x14ac:dyDescent="0.3">
      <c r="E454" s="17"/>
      <c r="F454" s="1"/>
      <c r="G454" s="79"/>
    </row>
    <row r="455" spans="1:7" x14ac:dyDescent="0.3">
      <c r="E455" s="17"/>
      <c r="F455" s="1"/>
      <c r="G455" s="82"/>
    </row>
    <row r="456" spans="1:7" x14ac:dyDescent="0.3">
      <c r="A456" s="3" t="s">
        <v>608</v>
      </c>
    </row>
    <row r="457" spans="1:7" x14ac:dyDescent="0.3">
      <c r="A457" t="s">
        <v>270</v>
      </c>
      <c r="B457" s="1">
        <v>150</v>
      </c>
      <c r="D457" s="9" t="s">
        <v>271</v>
      </c>
      <c r="E457" s="8" t="s">
        <v>272</v>
      </c>
      <c r="F457" s="9">
        <v>150</v>
      </c>
      <c r="G457" s="31">
        <v>70</v>
      </c>
    </row>
    <row r="458" spans="1:7" x14ac:dyDescent="0.3">
      <c r="A458" t="s">
        <v>839</v>
      </c>
      <c r="B458" s="1">
        <v>60</v>
      </c>
      <c r="D458" s="9" t="s">
        <v>410</v>
      </c>
      <c r="E458" s="8" t="s">
        <v>839</v>
      </c>
      <c r="F458" s="9">
        <v>60</v>
      </c>
      <c r="G458" s="31">
        <v>192</v>
      </c>
    </row>
    <row r="459" spans="1:7" x14ac:dyDescent="0.3">
      <c r="A459" t="s">
        <v>44</v>
      </c>
      <c r="B459" s="1">
        <v>10</v>
      </c>
      <c r="D459" s="9" t="s">
        <v>45</v>
      </c>
      <c r="E459" s="8" t="s">
        <v>46</v>
      </c>
      <c r="F459" s="9">
        <v>10</v>
      </c>
      <c r="G459" s="31">
        <v>899</v>
      </c>
    </row>
    <row r="460" spans="1:7" x14ac:dyDescent="0.3">
      <c r="A460" t="s">
        <v>126</v>
      </c>
      <c r="B460" s="1">
        <v>15</v>
      </c>
      <c r="D460" s="9" t="s">
        <v>127</v>
      </c>
      <c r="E460" s="8" t="s">
        <v>128</v>
      </c>
      <c r="F460" s="9">
        <v>15</v>
      </c>
      <c r="G460" s="31">
        <v>28</v>
      </c>
    </row>
    <row r="461" spans="1:7" x14ac:dyDescent="0.3">
      <c r="A461" t="s">
        <v>24</v>
      </c>
      <c r="B461" s="1">
        <v>0.3</v>
      </c>
      <c r="D461" s="9" t="s">
        <v>25</v>
      </c>
      <c r="E461" s="8" t="s">
        <v>26</v>
      </c>
      <c r="F461" s="9">
        <v>0.3</v>
      </c>
      <c r="G461" s="31">
        <v>0</v>
      </c>
    </row>
    <row r="462" spans="1:7" x14ac:dyDescent="0.3">
      <c r="A462" t="s">
        <v>71</v>
      </c>
      <c r="B462" s="1">
        <v>0.1</v>
      </c>
      <c r="D462" s="9" t="s">
        <v>72</v>
      </c>
      <c r="E462" s="8" t="s">
        <v>73</v>
      </c>
      <c r="F462" s="9">
        <v>0.1</v>
      </c>
      <c r="G462" s="31">
        <v>270</v>
      </c>
    </row>
    <row r="463" spans="1:7" x14ac:dyDescent="0.3">
      <c r="A463" s="3" t="s">
        <v>10</v>
      </c>
      <c r="B463" s="1">
        <v>235.4</v>
      </c>
      <c r="E463" s="10" t="s">
        <v>11</v>
      </c>
      <c r="F463" s="12">
        <f>SUM(F457:F462)</f>
        <v>235.4</v>
      </c>
      <c r="G463" s="84">
        <f>($F457*G457+$F458*G458+G459*$F459+G460*$F460+G461*$F461+G462*$F462)/$F463</f>
        <v>133.63211554800338</v>
      </c>
    </row>
    <row r="464" spans="1:7" x14ac:dyDescent="0.3">
      <c r="A464" s="3" t="s">
        <v>12</v>
      </c>
      <c r="B464" s="1" t="s">
        <v>13</v>
      </c>
      <c r="E464" s="14"/>
      <c r="F464" s="15"/>
      <c r="G464" s="81"/>
    </row>
    <row r="465" spans="1:7" x14ac:dyDescent="0.3">
      <c r="E465" s="17"/>
      <c r="F465" s="1"/>
      <c r="G465" s="79"/>
    </row>
    <row r="466" spans="1:7" x14ac:dyDescent="0.3">
      <c r="E466" s="17"/>
      <c r="F466" s="1"/>
      <c r="G466" s="82"/>
    </row>
    <row r="467" spans="1:7" x14ac:dyDescent="0.3">
      <c r="A467" s="3" t="s">
        <v>609</v>
      </c>
    </row>
    <row r="468" spans="1:7" x14ac:dyDescent="0.3">
      <c r="A468" t="s">
        <v>610</v>
      </c>
      <c r="B468" s="1">
        <v>300</v>
      </c>
      <c r="D468" s="9" t="s">
        <v>611</v>
      </c>
      <c r="E468" s="8" t="s">
        <v>612</v>
      </c>
      <c r="F468" s="9">
        <v>300</v>
      </c>
      <c r="G468" s="31">
        <v>279</v>
      </c>
    </row>
    <row r="469" spans="1:7" x14ac:dyDescent="0.3">
      <c r="A469" t="s">
        <v>374</v>
      </c>
      <c r="B469" s="1">
        <v>20</v>
      </c>
      <c r="D469" s="9" t="s">
        <v>375</v>
      </c>
      <c r="E469" s="8" t="s">
        <v>376</v>
      </c>
      <c r="F469" s="9">
        <v>20</v>
      </c>
      <c r="G469" s="31">
        <v>14</v>
      </c>
    </row>
    <row r="470" spans="1:7" x14ac:dyDescent="0.3">
      <c r="A470" t="s">
        <v>371</v>
      </c>
      <c r="B470" s="1">
        <v>20</v>
      </c>
      <c r="D470" s="9" t="s">
        <v>372</v>
      </c>
      <c r="E470" s="8" t="s">
        <v>373</v>
      </c>
      <c r="F470" s="9">
        <v>20</v>
      </c>
      <c r="G470" s="31">
        <v>20</v>
      </c>
    </row>
    <row r="471" spans="1:7" x14ac:dyDescent="0.3">
      <c r="A471" t="s">
        <v>845</v>
      </c>
      <c r="B471" s="1">
        <v>20</v>
      </c>
      <c r="D471" s="9" t="s">
        <v>377</v>
      </c>
      <c r="E471" s="8" t="s">
        <v>845</v>
      </c>
      <c r="F471" s="9">
        <v>20</v>
      </c>
      <c r="G471" s="31">
        <v>26</v>
      </c>
    </row>
    <row r="472" spans="1:7" x14ac:dyDescent="0.3">
      <c r="A472" s="3" t="s">
        <v>10</v>
      </c>
      <c r="B472" s="1">
        <v>360</v>
      </c>
      <c r="E472" s="10" t="s">
        <v>11</v>
      </c>
      <c r="F472" s="12">
        <f>SUM(F468:F471)</f>
        <v>360</v>
      </c>
      <c r="G472" s="84">
        <f>(G468*$F468+G469*$F469+G470*$F470+G471*$F471)/$F472</f>
        <v>235.83333333333334</v>
      </c>
    </row>
    <row r="473" spans="1:7" x14ac:dyDescent="0.3">
      <c r="A473" s="3" t="s">
        <v>12</v>
      </c>
      <c r="B473" s="1" t="s">
        <v>13</v>
      </c>
      <c r="E473" s="14"/>
      <c r="F473" s="15"/>
      <c r="G473" s="81"/>
    </row>
    <row r="474" spans="1:7" x14ac:dyDescent="0.3">
      <c r="E474" s="17"/>
      <c r="F474" s="1"/>
      <c r="G474" s="79"/>
    </row>
    <row r="475" spans="1:7" x14ac:dyDescent="0.3">
      <c r="E475" s="17"/>
      <c r="F475" s="1"/>
      <c r="G475" s="82"/>
    </row>
    <row r="476" spans="1:7" x14ac:dyDescent="0.3">
      <c r="A476" s="3" t="s">
        <v>613</v>
      </c>
    </row>
    <row r="477" spans="1:7" x14ac:dyDescent="0.3">
      <c r="A477" t="s">
        <v>610</v>
      </c>
      <c r="B477" s="1">
        <v>300</v>
      </c>
      <c r="D477" s="9" t="s">
        <v>611</v>
      </c>
      <c r="E477" s="8" t="s">
        <v>612</v>
      </c>
      <c r="F477" s="9">
        <v>300</v>
      </c>
      <c r="G477" s="31">
        <v>279</v>
      </c>
    </row>
    <row r="478" spans="1:7" x14ac:dyDescent="0.3">
      <c r="A478" t="s">
        <v>411</v>
      </c>
      <c r="B478" s="1">
        <v>50</v>
      </c>
      <c r="D478" s="9" t="s">
        <v>412</v>
      </c>
      <c r="E478" s="8" t="s">
        <v>413</v>
      </c>
      <c r="F478" s="9">
        <v>50</v>
      </c>
      <c r="G478" s="31">
        <v>215</v>
      </c>
    </row>
    <row r="479" spans="1:7" x14ac:dyDescent="0.3">
      <c r="A479" s="3" t="s">
        <v>10</v>
      </c>
      <c r="B479" s="1">
        <v>350</v>
      </c>
      <c r="E479" s="10" t="s">
        <v>11</v>
      </c>
      <c r="F479" s="12">
        <f>SUM(F477:F478)</f>
        <v>350</v>
      </c>
      <c r="G479" s="84">
        <f>(G477*$F477+G478*$F478)/$F479</f>
        <v>269.85714285714283</v>
      </c>
    </row>
    <row r="480" spans="1:7" x14ac:dyDescent="0.3">
      <c r="A480" s="3" t="s">
        <v>12</v>
      </c>
      <c r="B480" s="1" t="s">
        <v>13</v>
      </c>
      <c r="E480" s="14"/>
      <c r="F480" s="15"/>
      <c r="G480" s="81"/>
    </row>
    <row r="481" spans="1:7" x14ac:dyDescent="0.3">
      <c r="A481" s="3"/>
      <c r="E481" s="17"/>
      <c r="F481" s="1"/>
      <c r="G481" s="79"/>
    </row>
    <row r="482" spans="1:7" x14ac:dyDescent="0.3">
      <c r="A482" s="3"/>
      <c r="E482" s="17"/>
      <c r="F482" s="1"/>
      <c r="G482" s="82"/>
    </row>
    <row r="483" spans="1:7" x14ac:dyDescent="0.3">
      <c r="A483" s="3" t="s">
        <v>614</v>
      </c>
    </row>
    <row r="484" spans="1:7" x14ac:dyDescent="0.3">
      <c r="A484" t="s">
        <v>610</v>
      </c>
      <c r="B484" s="1">
        <v>300</v>
      </c>
      <c r="D484" s="9" t="s">
        <v>611</v>
      </c>
      <c r="E484" s="8" t="s">
        <v>612</v>
      </c>
      <c r="F484" s="9">
        <v>300</v>
      </c>
      <c r="G484" s="31">
        <v>279</v>
      </c>
    </row>
    <row r="485" spans="1:7" x14ac:dyDescent="0.3">
      <c r="A485" s="3" t="s">
        <v>10</v>
      </c>
      <c r="B485" s="1">
        <v>300</v>
      </c>
      <c r="E485" s="10" t="s">
        <v>11</v>
      </c>
      <c r="F485" s="12">
        <f>SUM(F484)</f>
        <v>300</v>
      </c>
      <c r="G485" s="84">
        <f>(G484*$F484)/$F485</f>
        <v>279</v>
      </c>
    </row>
    <row r="486" spans="1:7" x14ac:dyDescent="0.3">
      <c r="A486" s="3" t="s">
        <v>12</v>
      </c>
      <c r="B486" s="1" t="s">
        <v>13</v>
      </c>
      <c r="E486" s="14"/>
      <c r="F486" s="15"/>
      <c r="G486" s="81"/>
    </row>
    <row r="487" spans="1:7" x14ac:dyDescent="0.3">
      <c r="E487" s="17"/>
      <c r="F487" s="1"/>
      <c r="G487" s="79"/>
    </row>
    <row r="488" spans="1:7" x14ac:dyDescent="0.3">
      <c r="E488" s="17"/>
      <c r="F488" s="1"/>
      <c r="G488" s="82"/>
    </row>
    <row r="489" spans="1:7" x14ac:dyDescent="0.3">
      <c r="A489" s="3" t="s">
        <v>615</v>
      </c>
    </row>
    <row r="490" spans="1:7" x14ac:dyDescent="0.3">
      <c r="A490" t="s">
        <v>610</v>
      </c>
      <c r="B490" s="1">
        <v>150</v>
      </c>
      <c r="D490" s="9" t="s">
        <v>611</v>
      </c>
      <c r="E490" s="8" t="s">
        <v>612</v>
      </c>
      <c r="F490" s="9">
        <v>150</v>
      </c>
      <c r="G490" s="31">
        <v>279</v>
      </c>
    </row>
    <row r="491" spans="1:7" x14ac:dyDescent="0.3">
      <c r="A491" s="3" t="s">
        <v>10</v>
      </c>
      <c r="B491" s="1">
        <v>150</v>
      </c>
      <c r="E491" s="10" t="s">
        <v>11</v>
      </c>
      <c r="F491" s="12">
        <f>SUM(F490)</f>
        <v>150</v>
      </c>
      <c r="G491" s="84">
        <f>(G490*$F490)/$F491</f>
        <v>279</v>
      </c>
    </row>
    <row r="492" spans="1:7" x14ac:dyDescent="0.3">
      <c r="A492" s="3" t="s">
        <v>12</v>
      </c>
      <c r="B492" s="1" t="s">
        <v>13</v>
      </c>
      <c r="E492" s="14"/>
      <c r="F492" s="15"/>
      <c r="G492" s="81"/>
    </row>
    <row r="493" spans="1:7" x14ac:dyDescent="0.3">
      <c r="E493" s="17"/>
      <c r="F493" s="1"/>
      <c r="G493" s="79"/>
    </row>
    <row r="494" spans="1:7" x14ac:dyDescent="0.3">
      <c r="E494" s="17"/>
      <c r="F494" s="1"/>
      <c r="G494" s="82"/>
    </row>
    <row r="495" spans="1:7" x14ac:dyDescent="0.3">
      <c r="A495" s="3" t="s">
        <v>616</v>
      </c>
    </row>
    <row r="496" spans="1:7" x14ac:dyDescent="0.3">
      <c r="A496" t="s">
        <v>617</v>
      </c>
      <c r="B496" s="1">
        <v>290</v>
      </c>
      <c r="D496" s="9" t="s">
        <v>618</v>
      </c>
      <c r="E496" s="8" t="s">
        <v>619</v>
      </c>
      <c r="F496" s="9">
        <v>290</v>
      </c>
      <c r="G496" s="31">
        <v>253</v>
      </c>
    </row>
    <row r="497" spans="1:7" x14ac:dyDescent="0.3">
      <c r="A497" t="s">
        <v>44</v>
      </c>
      <c r="B497" s="1">
        <v>5</v>
      </c>
      <c r="D497" s="9" t="s">
        <v>45</v>
      </c>
      <c r="E497" s="8" t="s">
        <v>46</v>
      </c>
      <c r="F497" s="9">
        <v>5</v>
      </c>
      <c r="G497" s="31">
        <v>899</v>
      </c>
    </row>
    <row r="498" spans="1:7" x14ac:dyDescent="0.3">
      <c r="A498" t="s">
        <v>88</v>
      </c>
      <c r="B498" s="1">
        <v>5</v>
      </c>
      <c r="D498" s="9" t="s">
        <v>89</v>
      </c>
      <c r="E498" s="8" t="s">
        <v>90</v>
      </c>
      <c r="F498" s="9">
        <v>5</v>
      </c>
      <c r="G498" s="31">
        <v>45</v>
      </c>
    </row>
    <row r="499" spans="1:7" x14ac:dyDescent="0.3">
      <c r="A499" s="3" t="s">
        <v>10</v>
      </c>
      <c r="B499" s="1">
        <v>300</v>
      </c>
      <c r="E499" s="10" t="s">
        <v>11</v>
      </c>
      <c r="F499" s="12">
        <f>SUM(F496:F498)</f>
        <v>300</v>
      </c>
      <c r="G499" s="84">
        <f>(G496*$F496+G497*$F497+G498*$F498)/$F499</f>
        <v>260.3</v>
      </c>
    </row>
    <row r="500" spans="1:7" x14ac:dyDescent="0.3">
      <c r="A500" s="3" t="s">
        <v>12</v>
      </c>
      <c r="B500" s="1" t="s">
        <v>13</v>
      </c>
      <c r="E500" s="14"/>
      <c r="F500" s="15"/>
      <c r="G500" s="81"/>
    </row>
    <row r="501" spans="1:7" x14ac:dyDescent="0.3">
      <c r="E501" s="17"/>
      <c r="F501" s="1"/>
      <c r="G501" s="79"/>
    </row>
    <row r="502" spans="1:7" x14ac:dyDescent="0.3">
      <c r="E502" s="17"/>
      <c r="F502" s="1"/>
      <c r="G502" s="82"/>
    </row>
    <row r="503" spans="1:7" x14ac:dyDescent="0.3">
      <c r="A503" s="3" t="s">
        <v>620</v>
      </c>
    </row>
    <row r="504" spans="1:7" x14ac:dyDescent="0.3">
      <c r="A504" t="s">
        <v>621</v>
      </c>
      <c r="B504" s="1">
        <v>80</v>
      </c>
      <c r="D504" s="9" t="s">
        <v>622</v>
      </c>
      <c r="E504" s="8" t="s">
        <v>623</v>
      </c>
      <c r="F504" s="9">
        <v>80</v>
      </c>
      <c r="G504" s="31">
        <v>341</v>
      </c>
    </row>
    <row r="505" spans="1:7" x14ac:dyDescent="0.3">
      <c r="A505" t="s">
        <v>24</v>
      </c>
      <c r="B505" s="1">
        <v>0.3</v>
      </c>
      <c r="D505" s="9" t="s">
        <v>25</v>
      </c>
      <c r="E505" s="8" t="s">
        <v>26</v>
      </c>
      <c r="F505" s="9">
        <v>0.3</v>
      </c>
      <c r="G505" s="31">
        <v>0</v>
      </c>
    </row>
    <row r="506" spans="1:7" x14ac:dyDescent="0.3">
      <c r="A506" s="3" t="s">
        <v>10</v>
      </c>
      <c r="B506" s="1">
        <v>80.3</v>
      </c>
      <c r="E506" s="10" t="s">
        <v>11</v>
      </c>
      <c r="F506" s="12">
        <f>SUM(F504:F505)</f>
        <v>80.3</v>
      </c>
      <c r="G506" s="84">
        <f>(G504*$F504+G505*$F505)/$F506</f>
        <v>339.72602739726028</v>
      </c>
    </row>
    <row r="507" spans="1:7" x14ac:dyDescent="0.3">
      <c r="A507" s="3" t="s">
        <v>12</v>
      </c>
      <c r="B507" s="1" t="s">
        <v>13</v>
      </c>
      <c r="E507" s="14"/>
      <c r="F507" s="15"/>
      <c r="G507" s="81"/>
    </row>
    <row r="508" spans="1:7" x14ac:dyDescent="0.3">
      <c r="E508" s="17"/>
      <c r="F508" s="1"/>
      <c r="G508" s="79"/>
    </row>
    <row r="509" spans="1:7" x14ac:dyDescent="0.3">
      <c r="E509" s="17"/>
      <c r="F509" s="1"/>
      <c r="G509" s="82"/>
    </row>
    <row r="510" spans="1:7" x14ac:dyDescent="0.3">
      <c r="A510" s="3" t="s">
        <v>624</v>
      </c>
    </row>
    <row r="511" spans="1:7" x14ac:dyDescent="0.3">
      <c r="A511" t="s">
        <v>625</v>
      </c>
      <c r="B511" s="1">
        <v>100</v>
      </c>
      <c r="D511" s="9" t="s">
        <v>626</v>
      </c>
      <c r="E511" s="8" t="s">
        <v>627</v>
      </c>
      <c r="F511" s="9">
        <v>100</v>
      </c>
      <c r="G511" s="31">
        <v>171</v>
      </c>
    </row>
    <row r="512" spans="1:7" x14ac:dyDescent="0.3">
      <c r="A512" t="s">
        <v>47</v>
      </c>
      <c r="B512" s="1">
        <v>1</v>
      </c>
      <c r="D512" s="9" t="s">
        <v>48</v>
      </c>
      <c r="E512" s="8" t="s">
        <v>49</v>
      </c>
      <c r="F512" s="9">
        <v>1</v>
      </c>
      <c r="G512" s="31">
        <v>111</v>
      </c>
    </row>
    <row r="513" spans="1:7" x14ac:dyDescent="0.3">
      <c r="A513" t="s">
        <v>24</v>
      </c>
      <c r="B513" s="1">
        <v>0.3</v>
      </c>
      <c r="D513" s="9" t="s">
        <v>25</v>
      </c>
      <c r="E513" s="8" t="s">
        <v>26</v>
      </c>
      <c r="F513" s="9">
        <v>0.3</v>
      </c>
      <c r="G513" s="31">
        <v>0</v>
      </c>
    </row>
    <row r="514" spans="1:7" x14ac:dyDescent="0.3">
      <c r="A514" t="s">
        <v>71</v>
      </c>
      <c r="B514" s="1">
        <v>0.1</v>
      </c>
      <c r="D514" s="9" t="s">
        <v>72</v>
      </c>
      <c r="E514" s="8" t="s">
        <v>73</v>
      </c>
      <c r="F514" s="9">
        <v>0.1</v>
      </c>
      <c r="G514" s="31">
        <v>270</v>
      </c>
    </row>
    <row r="515" spans="1:7" x14ac:dyDescent="0.3">
      <c r="A515" s="3" t="s">
        <v>10</v>
      </c>
      <c r="B515" s="1">
        <v>101.4</v>
      </c>
      <c r="E515" s="10" t="s">
        <v>11</v>
      </c>
      <c r="F515" s="12">
        <f>SUM(F511:F514)</f>
        <v>101.39999999999999</v>
      </c>
      <c r="G515" s="84">
        <f>(G511*$F511+G512*$F512+G513*$F513+G514*$F514)/$F515</f>
        <v>170.00000000000003</v>
      </c>
    </row>
    <row r="516" spans="1:7" x14ac:dyDescent="0.3">
      <c r="A516" s="3" t="s">
        <v>12</v>
      </c>
      <c r="B516" s="1" t="s">
        <v>13</v>
      </c>
      <c r="E516" s="14"/>
      <c r="F516" s="15"/>
      <c r="G516" s="81"/>
    </row>
    <row r="517" spans="1:7" x14ac:dyDescent="0.3">
      <c r="E517" s="17"/>
      <c r="F517" s="1"/>
      <c r="G517" s="79"/>
    </row>
    <row r="518" spans="1:7" x14ac:dyDescent="0.3">
      <c r="E518" s="17"/>
      <c r="F518" s="1"/>
      <c r="G518" s="82"/>
    </row>
    <row r="519" spans="1:7" x14ac:dyDescent="0.3">
      <c r="A519" s="3" t="s">
        <v>628</v>
      </c>
    </row>
    <row r="520" spans="1:7" x14ac:dyDescent="0.3">
      <c r="A520" t="s">
        <v>629</v>
      </c>
      <c r="B520" s="1">
        <v>100</v>
      </c>
      <c r="D520" s="9" t="s">
        <v>630</v>
      </c>
      <c r="E520" s="8" t="s">
        <v>631</v>
      </c>
      <c r="F520" s="9">
        <v>100</v>
      </c>
      <c r="G520" s="31">
        <v>110</v>
      </c>
    </row>
    <row r="521" spans="1:7" x14ac:dyDescent="0.3">
      <c r="A521" t="s">
        <v>47</v>
      </c>
      <c r="B521" s="1">
        <v>1</v>
      </c>
      <c r="D521" s="9" t="s">
        <v>48</v>
      </c>
      <c r="E521" s="8" t="s">
        <v>49</v>
      </c>
      <c r="F521" s="9">
        <v>1</v>
      </c>
      <c r="G521" s="31">
        <v>111</v>
      </c>
    </row>
    <row r="522" spans="1:7" x14ac:dyDescent="0.3">
      <c r="A522" t="s">
        <v>24</v>
      </c>
      <c r="B522" s="1">
        <v>0.3</v>
      </c>
      <c r="D522" s="9" t="s">
        <v>25</v>
      </c>
      <c r="E522" s="8" t="s">
        <v>26</v>
      </c>
      <c r="F522" s="9">
        <v>0.3</v>
      </c>
      <c r="G522" s="31">
        <v>0</v>
      </c>
    </row>
    <row r="523" spans="1:7" x14ac:dyDescent="0.3">
      <c r="A523" t="s">
        <v>71</v>
      </c>
      <c r="B523" s="1">
        <v>0.1</v>
      </c>
      <c r="D523" s="9" t="s">
        <v>72</v>
      </c>
      <c r="E523" s="8" t="s">
        <v>73</v>
      </c>
      <c r="F523" s="9">
        <v>0.1</v>
      </c>
      <c r="G523" s="31">
        <v>270</v>
      </c>
    </row>
    <row r="524" spans="1:7" x14ac:dyDescent="0.3">
      <c r="A524" s="3" t="s">
        <v>10</v>
      </c>
      <c r="B524" s="1">
        <v>101.4</v>
      </c>
      <c r="E524" s="10" t="s">
        <v>11</v>
      </c>
      <c r="F524" s="12">
        <f>SUM(F520:F523)</f>
        <v>101.39999999999999</v>
      </c>
      <c r="G524" s="84">
        <f>(G520*$F520+G521*$F521+G522*$F522+G523*$F523)/$F524</f>
        <v>109.84220907297831</v>
      </c>
    </row>
    <row r="525" spans="1:7" x14ac:dyDescent="0.3">
      <c r="A525" s="3" t="s">
        <v>12</v>
      </c>
      <c r="B525" s="1" t="s">
        <v>13</v>
      </c>
      <c r="E525" s="14"/>
      <c r="F525" s="15"/>
      <c r="G525" s="81"/>
    </row>
    <row r="526" spans="1:7" x14ac:dyDescent="0.3">
      <c r="E526" s="17"/>
      <c r="F526" s="1"/>
      <c r="G526" s="79"/>
    </row>
    <row r="527" spans="1:7" x14ac:dyDescent="0.3">
      <c r="E527" s="17"/>
      <c r="F527" s="1"/>
      <c r="G527" s="82"/>
    </row>
    <row r="528" spans="1:7" x14ac:dyDescent="0.3">
      <c r="A528" s="3" t="s">
        <v>632</v>
      </c>
    </row>
    <row r="529" spans="1:7" x14ac:dyDescent="0.3">
      <c r="A529" t="s">
        <v>359</v>
      </c>
      <c r="B529" s="1">
        <v>100</v>
      </c>
      <c r="D529" s="9" t="s">
        <v>360</v>
      </c>
      <c r="E529" s="8" t="s">
        <v>361</v>
      </c>
      <c r="F529" s="9">
        <v>100</v>
      </c>
      <c r="G529" s="31">
        <v>155</v>
      </c>
    </row>
    <row r="530" spans="1:7" x14ac:dyDescent="0.3">
      <c r="A530" t="s">
        <v>258</v>
      </c>
      <c r="B530" s="1">
        <v>25</v>
      </c>
      <c r="D530" s="9" t="s">
        <v>259</v>
      </c>
      <c r="E530" s="8" t="s">
        <v>260</v>
      </c>
      <c r="F530" s="9">
        <v>25</v>
      </c>
      <c r="G530" s="31">
        <v>128</v>
      </c>
    </row>
    <row r="531" spans="1:7" x14ac:dyDescent="0.3">
      <c r="A531" t="s">
        <v>633</v>
      </c>
      <c r="B531" s="1">
        <v>25</v>
      </c>
      <c r="D531" s="9" t="s">
        <v>634</v>
      </c>
      <c r="E531" s="8" t="s">
        <v>635</v>
      </c>
      <c r="F531" s="9">
        <v>25</v>
      </c>
      <c r="G531" s="31">
        <v>317</v>
      </c>
    </row>
    <row r="532" spans="1:7" x14ac:dyDescent="0.3">
      <c r="A532" t="s">
        <v>88</v>
      </c>
      <c r="B532" s="1">
        <v>3</v>
      </c>
      <c r="D532" s="9" t="s">
        <v>89</v>
      </c>
      <c r="E532" s="8" t="s">
        <v>90</v>
      </c>
      <c r="F532" s="9">
        <v>3</v>
      </c>
      <c r="G532" s="31">
        <v>45</v>
      </c>
    </row>
    <row r="533" spans="1:7" x14ac:dyDescent="0.3">
      <c r="A533" t="s">
        <v>24</v>
      </c>
      <c r="B533" s="1">
        <v>0.3</v>
      </c>
      <c r="D533" s="9" t="s">
        <v>25</v>
      </c>
      <c r="E533" s="8" t="s">
        <v>26</v>
      </c>
      <c r="F533" s="9">
        <v>0.3</v>
      </c>
      <c r="G533" s="31">
        <v>0</v>
      </c>
    </row>
    <row r="534" spans="1:7" x14ac:dyDescent="0.3">
      <c r="A534" t="s">
        <v>71</v>
      </c>
      <c r="B534" s="1">
        <v>0.1</v>
      </c>
      <c r="D534" s="9" t="s">
        <v>72</v>
      </c>
      <c r="E534" s="8" t="s">
        <v>73</v>
      </c>
      <c r="F534" s="9">
        <v>0.1</v>
      </c>
      <c r="G534" s="31">
        <v>270</v>
      </c>
    </row>
    <row r="535" spans="1:7" x14ac:dyDescent="0.3">
      <c r="A535" t="s">
        <v>105</v>
      </c>
      <c r="B535" s="1">
        <v>4</v>
      </c>
      <c r="D535" s="9" t="s">
        <v>106</v>
      </c>
      <c r="E535" s="42" t="s">
        <v>107</v>
      </c>
      <c r="F535" s="8">
        <v>4</v>
      </c>
      <c r="G535" s="31">
        <v>30</v>
      </c>
    </row>
    <row r="536" spans="1:7" x14ac:dyDescent="0.3">
      <c r="A536" t="s">
        <v>848</v>
      </c>
      <c r="B536" s="1">
        <v>4</v>
      </c>
      <c r="D536" s="9" t="s">
        <v>257</v>
      </c>
      <c r="E536" s="8" t="s">
        <v>848</v>
      </c>
      <c r="F536" s="9">
        <v>4</v>
      </c>
      <c r="G536" s="31">
        <v>357</v>
      </c>
    </row>
    <row r="537" spans="1:7" x14ac:dyDescent="0.3">
      <c r="A537" t="s">
        <v>44</v>
      </c>
      <c r="B537" s="1">
        <v>5</v>
      </c>
      <c r="D537" s="9" t="s">
        <v>45</v>
      </c>
      <c r="E537" s="8" t="s">
        <v>46</v>
      </c>
      <c r="F537" s="9">
        <v>5</v>
      </c>
      <c r="G537" s="31">
        <v>899</v>
      </c>
    </row>
    <row r="538" spans="1:7" x14ac:dyDescent="0.3">
      <c r="A538" s="3" t="s">
        <v>10</v>
      </c>
      <c r="B538" s="1">
        <v>166.4</v>
      </c>
      <c r="E538" s="10" t="s">
        <v>11</v>
      </c>
      <c r="F538" s="12">
        <f>SUM(F529:F537)</f>
        <v>166.4</v>
      </c>
      <c r="G538" s="84">
        <f>($F529*G529+$F530*G530+$F531*G531+$F532*G532+$F533*G533+G534*$F534+G535*$F535+G536*$F536+G537*$F537)/$F538</f>
        <v>197.29567307692307</v>
      </c>
    </row>
    <row r="539" spans="1:7" x14ac:dyDescent="0.3">
      <c r="A539" s="3" t="s">
        <v>12</v>
      </c>
      <c r="B539" s="1" t="s">
        <v>13</v>
      </c>
      <c r="E539" s="14"/>
      <c r="F539" s="15"/>
      <c r="G539" s="81"/>
    </row>
    <row r="540" spans="1:7" x14ac:dyDescent="0.3">
      <c r="E540" s="17"/>
      <c r="F540" s="1"/>
      <c r="G540" s="79"/>
    </row>
    <row r="541" spans="1:7" x14ac:dyDescent="0.3">
      <c r="E541" s="17"/>
      <c r="F541" s="1"/>
      <c r="G541" s="82"/>
    </row>
    <row r="542" spans="1:7" x14ac:dyDescent="0.3">
      <c r="A542" s="3" t="s">
        <v>636</v>
      </c>
    </row>
    <row r="543" spans="1:7" x14ac:dyDescent="0.3">
      <c r="A543" t="s">
        <v>849</v>
      </c>
      <c r="B543" s="1">
        <v>200</v>
      </c>
      <c r="D543" s="9" t="s">
        <v>148</v>
      </c>
      <c r="E543" s="8" t="s">
        <v>849</v>
      </c>
      <c r="F543" s="9">
        <v>200</v>
      </c>
      <c r="G543" s="31">
        <v>19</v>
      </c>
    </row>
    <row r="544" spans="1:7" x14ac:dyDescent="0.3">
      <c r="A544" t="s">
        <v>44</v>
      </c>
      <c r="B544" s="1">
        <v>10</v>
      </c>
      <c r="D544" s="9" t="s">
        <v>45</v>
      </c>
      <c r="E544" s="8" t="s">
        <v>46</v>
      </c>
      <c r="F544" s="9">
        <v>10</v>
      </c>
      <c r="G544" s="31">
        <v>899</v>
      </c>
    </row>
    <row r="545" spans="1:7" x14ac:dyDescent="0.3">
      <c r="A545" t="s">
        <v>21</v>
      </c>
      <c r="B545" s="1">
        <v>5</v>
      </c>
      <c r="D545" s="9" t="s">
        <v>22</v>
      </c>
      <c r="E545" s="8" t="s">
        <v>23</v>
      </c>
      <c r="F545" s="9">
        <v>5</v>
      </c>
      <c r="G545" s="31">
        <v>4</v>
      </c>
    </row>
    <row r="546" spans="1:7" x14ac:dyDescent="0.3">
      <c r="A546" t="s">
        <v>174</v>
      </c>
      <c r="B546" s="1">
        <v>2</v>
      </c>
      <c r="D546" s="9" t="s">
        <v>175</v>
      </c>
      <c r="E546" s="8" t="s">
        <v>176</v>
      </c>
      <c r="F546" s="9">
        <v>2</v>
      </c>
      <c r="G546" s="31">
        <v>49</v>
      </c>
    </row>
    <row r="547" spans="1:7" x14ac:dyDescent="0.3">
      <c r="A547" t="s">
        <v>24</v>
      </c>
      <c r="B547" s="1">
        <v>0.3</v>
      </c>
      <c r="D547" s="9" t="s">
        <v>25</v>
      </c>
      <c r="E547" s="8" t="s">
        <v>26</v>
      </c>
      <c r="F547" s="9">
        <v>0.3</v>
      </c>
      <c r="G547" s="31">
        <v>0</v>
      </c>
    </row>
    <row r="548" spans="1:7" x14ac:dyDescent="0.3">
      <c r="A548" t="s">
        <v>71</v>
      </c>
      <c r="B548" s="1">
        <v>0.1</v>
      </c>
      <c r="D548" s="9" t="s">
        <v>72</v>
      </c>
      <c r="E548" s="8" t="s">
        <v>73</v>
      </c>
      <c r="F548" s="9">
        <v>0.1</v>
      </c>
      <c r="G548" s="31">
        <v>270</v>
      </c>
    </row>
    <row r="549" spans="1:7" x14ac:dyDescent="0.3">
      <c r="A549" s="3" t="s">
        <v>10</v>
      </c>
      <c r="B549" s="1">
        <v>217.4</v>
      </c>
      <c r="E549" s="10" t="s">
        <v>11</v>
      </c>
      <c r="F549" s="12">
        <f>SUM(F543:F548)</f>
        <v>217.4</v>
      </c>
      <c r="G549" s="84">
        <f>($F543*G543+$F544*G544+G545*$F545+G546*$F546+G547*$F547+G548*$F548)/$F549</f>
        <v>59.49862005519779</v>
      </c>
    </row>
    <row r="550" spans="1:7" x14ac:dyDescent="0.3">
      <c r="A550" s="3" t="s">
        <v>12</v>
      </c>
      <c r="B550" s="1" t="s">
        <v>13</v>
      </c>
      <c r="E550" s="14"/>
      <c r="F550" s="15"/>
      <c r="G550" s="81"/>
    </row>
    <row r="551" spans="1:7" x14ac:dyDescent="0.3">
      <c r="E551" s="17"/>
      <c r="F551" s="1"/>
      <c r="G551" s="79"/>
    </row>
    <row r="552" spans="1:7" x14ac:dyDescent="0.3">
      <c r="E552" s="17"/>
      <c r="F552" s="1"/>
      <c r="G552" s="82"/>
    </row>
    <row r="553" spans="1:7" x14ac:dyDescent="0.3">
      <c r="A553" s="3" t="s">
        <v>637</v>
      </c>
    </row>
    <row r="554" spans="1:7" x14ac:dyDescent="0.3">
      <c r="A554" t="s">
        <v>638</v>
      </c>
      <c r="B554" s="1">
        <v>30</v>
      </c>
      <c r="D554" s="9" t="s">
        <v>639</v>
      </c>
      <c r="E554" s="8" t="s">
        <v>640</v>
      </c>
      <c r="F554" s="9">
        <v>30</v>
      </c>
      <c r="G554" s="31">
        <v>367</v>
      </c>
    </row>
    <row r="555" spans="1:7" x14ac:dyDescent="0.3">
      <c r="A555" t="s">
        <v>850</v>
      </c>
      <c r="B555" s="1">
        <v>125</v>
      </c>
      <c r="D555" s="9" t="s">
        <v>70</v>
      </c>
      <c r="E555" s="8" t="s">
        <v>850</v>
      </c>
      <c r="F555" s="9">
        <v>125</v>
      </c>
      <c r="G555" s="31">
        <v>64</v>
      </c>
    </row>
    <row r="556" spans="1:7" x14ac:dyDescent="0.3">
      <c r="A556" t="s">
        <v>641</v>
      </c>
      <c r="B556" s="1">
        <v>125</v>
      </c>
      <c r="D556" s="9" t="s">
        <v>642</v>
      </c>
      <c r="E556" s="8" t="s">
        <v>643</v>
      </c>
      <c r="F556" s="9">
        <v>125</v>
      </c>
      <c r="G556" s="31">
        <v>0</v>
      </c>
    </row>
    <row r="557" spans="1:7" x14ac:dyDescent="0.3">
      <c r="A557" t="s">
        <v>24</v>
      </c>
      <c r="B557" s="1">
        <v>0.1</v>
      </c>
      <c r="D557" s="9" t="s">
        <v>25</v>
      </c>
      <c r="E557" s="8" t="s">
        <v>26</v>
      </c>
      <c r="F557" s="9">
        <v>0.1</v>
      </c>
      <c r="G557" s="31">
        <v>0</v>
      </c>
    </row>
    <row r="558" spans="1:7" x14ac:dyDescent="0.3">
      <c r="A558" s="3" t="s">
        <v>10</v>
      </c>
      <c r="B558" s="1">
        <v>280.10000000000002</v>
      </c>
      <c r="E558" s="10" t="s">
        <v>11</v>
      </c>
      <c r="F558" s="12">
        <f>SUM(F554:F557)</f>
        <v>280.10000000000002</v>
      </c>
      <c r="G558" s="84">
        <f>(G554*$F554+G555*$F555+G556*$F556+G557*$F557)/$F558</f>
        <v>67.868618350589074</v>
      </c>
    </row>
    <row r="559" spans="1:7" x14ac:dyDescent="0.3">
      <c r="A559" s="3" t="s">
        <v>12</v>
      </c>
      <c r="B559" s="1" t="s">
        <v>13</v>
      </c>
      <c r="E559" s="14"/>
      <c r="F559" s="15"/>
      <c r="G559" s="81"/>
    </row>
    <row r="560" spans="1:7" x14ac:dyDescent="0.3">
      <c r="E560" s="17"/>
      <c r="F560" s="1"/>
      <c r="G560" s="79"/>
    </row>
    <row r="561" spans="1:7" x14ac:dyDescent="0.3">
      <c r="E561" s="17"/>
      <c r="F561" s="1"/>
      <c r="G561" s="82"/>
    </row>
    <row r="562" spans="1:7" x14ac:dyDescent="0.3">
      <c r="A562" s="3" t="s">
        <v>644</v>
      </c>
    </row>
    <row r="563" spans="1:7" x14ac:dyDescent="0.3">
      <c r="A563" t="s">
        <v>274</v>
      </c>
      <c r="B563" s="1">
        <v>200</v>
      </c>
      <c r="D563" s="9" t="s">
        <v>275</v>
      </c>
      <c r="E563" s="8" t="s">
        <v>276</v>
      </c>
      <c r="F563" s="9">
        <v>200</v>
      </c>
      <c r="G563" s="31">
        <v>80</v>
      </c>
    </row>
    <row r="564" spans="1:7" x14ac:dyDescent="0.3">
      <c r="A564" t="s">
        <v>69</v>
      </c>
      <c r="B564" s="1">
        <v>50</v>
      </c>
      <c r="D564" s="9" t="s">
        <v>70</v>
      </c>
      <c r="E564" s="8" t="s">
        <v>850</v>
      </c>
      <c r="F564" s="9">
        <v>50</v>
      </c>
      <c r="G564" s="31">
        <v>64</v>
      </c>
    </row>
    <row r="565" spans="1:7" x14ac:dyDescent="0.3">
      <c r="A565" t="s">
        <v>139</v>
      </c>
      <c r="B565" s="1">
        <v>7</v>
      </c>
      <c r="D565" s="9" t="s">
        <v>140</v>
      </c>
      <c r="E565" s="8" t="s">
        <v>141</v>
      </c>
      <c r="F565" s="9">
        <v>7</v>
      </c>
      <c r="G565" s="31">
        <v>387</v>
      </c>
    </row>
    <row r="566" spans="1:7" x14ac:dyDescent="0.3">
      <c r="A566" t="s">
        <v>24</v>
      </c>
      <c r="B566" s="1">
        <v>0.3</v>
      </c>
      <c r="D566" s="9" t="s">
        <v>25</v>
      </c>
      <c r="E566" s="8" t="s">
        <v>26</v>
      </c>
      <c r="F566" s="9">
        <v>0.3</v>
      </c>
      <c r="G566" s="31">
        <v>0</v>
      </c>
    </row>
    <row r="567" spans="1:7" x14ac:dyDescent="0.3">
      <c r="A567" t="s">
        <v>63</v>
      </c>
      <c r="B567" s="1">
        <v>10</v>
      </c>
      <c r="D567" s="9" t="s">
        <v>64</v>
      </c>
      <c r="E567" s="8" t="s">
        <v>65</v>
      </c>
      <c r="F567" s="9">
        <v>10</v>
      </c>
      <c r="G567" s="31">
        <v>758</v>
      </c>
    </row>
    <row r="568" spans="1:7" x14ac:dyDescent="0.3">
      <c r="A568" s="3" t="s">
        <v>10</v>
      </c>
      <c r="B568" s="1">
        <v>267.3</v>
      </c>
      <c r="E568" s="10" t="s">
        <v>11</v>
      </c>
      <c r="F568" s="12">
        <f>SUM(F563:F567)</f>
        <v>267.3</v>
      </c>
      <c r="G568" s="84">
        <f>($F563*G563+G564*$F564+G565*$F565+G566*$F566+G567*$F567)/$F568</f>
        <v>110.32173587729143</v>
      </c>
    </row>
    <row r="569" spans="1:7" x14ac:dyDescent="0.3">
      <c r="A569" s="3" t="s">
        <v>12</v>
      </c>
      <c r="B569" s="1" t="s">
        <v>13</v>
      </c>
      <c r="E569" s="14"/>
      <c r="F569" s="15"/>
      <c r="G569" s="81"/>
    </row>
    <row r="570" spans="1:7" x14ac:dyDescent="0.3">
      <c r="E570" s="17"/>
      <c r="F570" s="1"/>
      <c r="G570" s="79"/>
    </row>
    <row r="571" spans="1:7" x14ac:dyDescent="0.3">
      <c r="E571" s="17"/>
      <c r="F571" s="1"/>
      <c r="G571" s="82"/>
    </row>
    <row r="572" spans="1:7" x14ac:dyDescent="0.3">
      <c r="A572" s="3" t="s">
        <v>852</v>
      </c>
    </row>
    <row r="573" spans="1:7" x14ac:dyDescent="0.3">
      <c r="A573" t="s">
        <v>851</v>
      </c>
      <c r="B573" s="1">
        <v>80</v>
      </c>
      <c r="D573" s="65" t="s">
        <v>645</v>
      </c>
      <c r="E573" s="8" t="s">
        <v>851</v>
      </c>
      <c r="F573" s="9">
        <v>80</v>
      </c>
      <c r="G573" s="17">
        <v>140</v>
      </c>
    </row>
    <row r="574" spans="1:7" x14ac:dyDescent="0.3">
      <c r="A574" t="s">
        <v>44</v>
      </c>
      <c r="B574" s="1">
        <v>10</v>
      </c>
      <c r="D574" s="9" t="s">
        <v>45</v>
      </c>
      <c r="E574" s="8" t="s">
        <v>46</v>
      </c>
      <c r="F574" s="9">
        <v>10</v>
      </c>
      <c r="G574" s="31">
        <v>899</v>
      </c>
    </row>
    <row r="575" spans="1:7" x14ac:dyDescent="0.3">
      <c r="A575" t="s">
        <v>24</v>
      </c>
      <c r="B575" s="1">
        <v>0.3</v>
      </c>
      <c r="D575" s="9" t="s">
        <v>25</v>
      </c>
      <c r="E575" s="8" t="s">
        <v>26</v>
      </c>
      <c r="F575" s="9">
        <v>0.3</v>
      </c>
      <c r="G575" s="31">
        <v>0</v>
      </c>
    </row>
    <row r="576" spans="1:7" x14ac:dyDescent="0.3">
      <c r="A576" s="3" t="s">
        <v>10</v>
      </c>
      <c r="B576" s="1">
        <v>90.3</v>
      </c>
      <c r="E576" s="10" t="s">
        <v>11</v>
      </c>
      <c r="F576" s="12">
        <f>SUM(F573:F575)</f>
        <v>90.3</v>
      </c>
      <c r="G576" s="84">
        <f>(G573*$F573+G574*$F574+G575*$F575)/$F576</f>
        <v>223.58803986710964</v>
      </c>
    </row>
    <row r="577" spans="1:7" x14ac:dyDescent="0.3">
      <c r="A577" s="3" t="s">
        <v>12</v>
      </c>
      <c r="B577" s="1" t="s">
        <v>13</v>
      </c>
      <c r="E577" s="14"/>
      <c r="F577" s="15"/>
      <c r="G577" s="81"/>
    </row>
    <row r="578" spans="1:7" x14ac:dyDescent="0.3">
      <c r="E578" s="17"/>
      <c r="F578" s="1"/>
      <c r="G578" s="79"/>
    </row>
    <row r="579" spans="1:7" x14ac:dyDescent="0.3">
      <c r="E579" s="17"/>
      <c r="F579" s="1"/>
      <c r="G579" s="82"/>
    </row>
    <row r="580" spans="1:7" x14ac:dyDescent="0.3">
      <c r="A580" s="3" t="s">
        <v>853</v>
      </c>
    </row>
    <row r="581" spans="1:7" x14ac:dyDescent="0.3">
      <c r="A581" t="s">
        <v>851</v>
      </c>
      <c r="B581" s="1">
        <v>80</v>
      </c>
      <c r="D581" s="65" t="s">
        <v>645</v>
      </c>
      <c r="E581" s="8" t="s">
        <v>851</v>
      </c>
      <c r="F581" s="9">
        <v>80</v>
      </c>
      <c r="G581" s="17">
        <v>140</v>
      </c>
    </row>
    <row r="582" spans="1:7" x14ac:dyDescent="0.3">
      <c r="A582" t="s">
        <v>44</v>
      </c>
      <c r="B582" s="1">
        <v>10</v>
      </c>
      <c r="D582" s="9" t="s">
        <v>45</v>
      </c>
      <c r="E582" s="8" t="s">
        <v>46</v>
      </c>
      <c r="F582" s="9">
        <v>10</v>
      </c>
      <c r="G582" s="31">
        <v>899</v>
      </c>
    </row>
    <row r="583" spans="1:7" x14ac:dyDescent="0.3">
      <c r="A583" t="s">
        <v>374</v>
      </c>
      <c r="B583" s="1">
        <v>25</v>
      </c>
      <c r="D583" s="9" t="s">
        <v>375</v>
      </c>
      <c r="E583" s="8" t="s">
        <v>376</v>
      </c>
      <c r="F583" s="9">
        <v>25</v>
      </c>
      <c r="G583" s="31">
        <v>14</v>
      </c>
    </row>
    <row r="584" spans="1:7" x14ac:dyDescent="0.3">
      <c r="A584" t="s">
        <v>123</v>
      </c>
      <c r="B584" s="1">
        <v>25</v>
      </c>
      <c r="D584" s="9" t="s">
        <v>124</v>
      </c>
      <c r="E584" s="8" t="s">
        <v>125</v>
      </c>
      <c r="F584" s="9">
        <v>25</v>
      </c>
      <c r="G584" s="31">
        <v>39</v>
      </c>
    </row>
    <row r="585" spans="1:7" x14ac:dyDescent="0.3">
      <c r="A585" t="s">
        <v>383</v>
      </c>
      <c r="B585" s="1">
        <v>25</v>
      </c>
      <c r="D585" s="9" t="s">
        <v>384</v>
      </c>
      <c r="E585" s="8" t="s">
        <v>385</v>
      </c>
      <c r="F585" s="9">
        <v>25</v>
      </c>
      <c r="G585" s="31">
        <v>15</v>
      </c>
    </row>
    <row r="586" spans="1:7" x14ac:dyDescent="0.3">
      <c r="A586" t="s">
        <v>840</v>
      </c>
      <c r="B586" s="1">
        <v>25</v>
      </c>
      <c r="D586" s="9" t="s">
        <v>308</v>
      </c>
      <c r="E586" s="8" t="s">
        <v>840</v>
      </c>
      <c r="F586" s="9">
        <v>25</v>
      </c>
      <c r="G586" s="31">
        <v>21</v>
      </c>
    </row>
    <row r="587" spans="1:7" x14ac:dyDescent="0.3">
      <c r="A587" t="s">
        <v>24</v>
      </c>
      <c r="B587" s="1">
        <v>0.3</v>
      </c>
      <c r="D587" s="9" t="s">
        <v>25</v>
      </c>
      <c r="E587" s="8" t="s">
        <v>26</v>
      </c>
      <c r="F587" s="9">
        <v>0.3</v>
      </c>
      <c r="G587" s="31">
        <v>0</v>
      </c>
    </row>
    <row r="588" spans="1:7" x14ac:dyDescent="0.3">
      <c r="A588" s="3" t="s">
        <v>10</v>
      </c>
      <c r="B588" s="1">
        <v>190.3</v>
      </c>
      <c r="E588" s="10" t="s">
        <v>11</v>
      </c>
      <c r="F588" s="12">
        <f>SUM(F581:F587)</f>
        <v>190.3</v>
      </c>
      <c r="G588" s="84">
        <f>(G583*$F583+G584*$F584+G585*$F585+G586*$F586+G587*$F587+G582*$F582+G581*$F581)/$F588</f>
        <v>117.78770362585391</v>
      </c>
    </row>
    <row r="589" spans="1:7" x14ac:dyDescent="0.3">
      <c r="A589" s="3" t="s">
        <v>12</v>
      </c>
      <c r="B589" s="1" t="s">
        <v>13</v>
      </c>
      <c r="E589" s="14"/>
      <c r="F589" s="15"/>
      <c r="G589" s="81"/>
    </row>
    <row r="590" spans="1:7" x14ac:dyDescent="0.3">
      <c r="E590" s="17"/>
      <c r="F590" s="1"/>
      <c r="G590" s="79"/>
    </row>
    <row r="591" spans="1:7" x14ac:dyDescent="0.3">
      <c r="E591" s="17"/>
      <c r="F591" s="1"/>
      <c r="G591" s="82"/>
    </row>
    <row r="592" spans="1:7" x14ac:dyDescent="0.3">
      <c r="A592" s="3" t="s">
        <v>646</v>
      </c>
    </row>
    <row r="593" spans="1:7" x14ac:dyDescent="0.3">
      <c r="A593" t="s">
        <v>418</v>
      </c>
      <c r="B593" s="1">
        <v>200</v>
      </c>
      <c r="D593" s="9" t="s">
        <v>419</v>
      </c>
      <c r="E593" s="8" t="s">
        <v>420</v>
      </c>
      <c r="F593" s="9">
        <v>200</v>
      </c>
      <c r="G593" s="31">
        <v>18</v>
      </c>
    </row>
    <row r="594" spans="1:7" x14ac:dyDescent="0.3">
      <c r="A594" t="s">
        <v>44</v>
      </c>
      <c r="B594" s="1">
        <v>10</v>
      </c>
      <c r="D594" s="9" t="s">
        <v>45</v>
      </c>
      <c r="E594" s="8" t="s">
        <v>46</v>
      </c>
      <c r="F594" s="9">
        <v>10</v>
      </c>
      <c r="G594" s="31">
        <v>899</v>
      </c>
    </row>
    <row r="595" spans="1:7" x14ac:dyDescent="0.3">
      <c r="A595" t="s">
        <v>24</v>
      </c>
      <c r="B595" s="1">
        <v>0.3</v>
      </c>
      <c r="D595" s="9" t="s">
        <v>25</v>
      </c>
      <c r="E595" s="8" t="s">
        <v>26</v>
      </c>
      <c r="F595" s="9">
        <v>0.3</v>
      </c>
      <c r="G595" s="31">
        <v>0</v>
      </c>
    </row>
    <row r="596" spans="1:7" x14ac:dyDescent="0.3">
      <c r="A596" s="3" t="s">
        <v>10</v>
      </c>
      <c r="B596" s="1">
        <v>210.3</v>
      </c>
      <c r="E596" s="10" t="s">
        <v>11</v>
      </c>
      <c r="F596" s="12">
        <f>SUM(F593:F595)</f>
        <v>210.3</v>
      </c>
      <c r="G596" s="84">
        <f>(G593*$F593+G594*$F594+G595*$F595)/$F596</f>
        <v>59.86685687113647</v>
      </c>
    </row>
    <row r="597" spans="1:7" x14ac:dyDescent="0.3">
      <c r="A597" s="3" t="s">
        <v>12</v>
      </c>
      <c r="B597" s="1" t="s">
        <v>13</v>
      </c>
      <c r="E597" s="14"/>
      <c r="F597" s="15"/>
      <c r="G597" s="81"/>
    </row>
    <row r="598" spans="1:7" x14ac:dyDescent="0.3">
      <c r="E598" s="17"/>
      <c r="F598" s="1"/>
      <c r="G598" s="79"/>
    </row>
    <row r="599" spans="1:7" x14ac:dyDescent="0.3">
      <c r="E599" s="17"/>
      <c r="F599" s="1"/>
      <c r="G599" s="82"/>
    </row>
    <row r="600" spans="1:7" x14ac:dyDescent="0.3">
      <c r="A600" s="3" t="s">
        <v>647</v>
      </c>
    </row>
    <row r="601" spans="1:7" x14ac:dyDescent="0.3">
      <c r="A601" t="s">
        <v>418</v>
      </c>
      <c r="B601" s="1">
        <v>80</v>
      </c>
      <c r="D601" s="9" t="s">
        <v>419</v>
      </c>
      <c r="E601" s="8" t="s">
        <v>420</v>
      </c>
      <c r="F601" s="9">
        <v>80</v>
      </c>
      <c r="G601" s="31">
        <v>18</v>
      </c>
    </row>
    <row r="602" spans="1:7" x14ac:dyDescent="0.3">
      <c r="A602" t="s">
        <v>44</v>
      </c>
      <c r="B602" s="1">
        <v>10</v>
      </c>
      <c r="D602" s="9" t="s">
        <v>45</v>
      </c>
      <c r="E602" s="8" t="s">
        <v>46</v>
      </c>
      <c r="F602" s="9">
        <v>10</v>
      </c>
      <c r="G602" s="31">
        <v>899</v>
      </c>
    </row>
    <row r="603" spans="1:7" x14ac:dyDescent="0.3">
      <c r="A603" t="s">
        <v>21</v>
      </c>
      <c r="B603" s="1">
        <v>5</v>
      </c>
      <c r="D603" s="9" t="s">
        <v>22</v>
      </c>
      <c r="E603" s="8" t="s">
        <v>23</v>
      </c>
      <c r="F603" s="9">
        <v>5</v>
      </c>
      <c r="G603" s="31">
        <v>4</v>
      </c>
    </row>
    <row r="604" spans="1:7" x14ac:dyDescent="0.3">
      <c r="A604" t="s">
        <v>24</v>
      </c>
      <c r="B604" s="1">
        <v>0.3</v>
      </c>
      <c r="D604" s="9" t="s">
        <v>25</v>
      </c>
      <c r="E604" s="8" t="s">
        <v>26</v>
      </c>
      <c r="F604" s="9">
        <v>0.3</v>
      </c>
      <c r="G604" s="31">
        <v>0</v>
      </c>
    </row>
    <row r="605" spans="1:7" x14ac:dyDescent="0.3">
      <c r="A605" s="3" t="s">
        <v>10</v>
      </c>
      <c r="B605" s="1">
        <v>95.3</v>
      </c>
      <c r="E605" s="10" t="s">
        <v>11</v>
      </c>
      <c r="F605" s="12">
        <f>SUM(F601:F604)</f>
        <v>95.3</v>
      </c>
      <c r="G605" s="84">
        <f>(G601*$F601+G602*$F602+G603*$F603+G604*$F604)/$F605</f>
        <v>109.65372507869886</v>
      </c>
    </row>
    <row r="606" spans="1:7" x14ac:dyDescent="0.3">
      <c r="A606" s="3" t="s">
        <v>12</v>
      </c>
      <c r="B606" s="1" t="s">
        <v>13</v>
      </c>
      <c r="E606" s="14"/>
      <c r="F606" s="15"/>
      <c r="G606" s="81"/>
    </row>
    <row r="607" spans="1:7" x14ac:dyDescent="0.3">
      <c r="E607" s="17"/>
      <c r="F607" s="1"/>
      <c r="G607" s="79"/>
    </row>
    <row r="608" spans="1:7" x14ac:dyDescent="0.3">
      <c r="E608" s="17"/>
      <c r="F608" s="1"/>
      <c r="G608" s="82"/>
    </row>
    <row r="609" spans="1:7" x14ac:dyDescent="0.3">
      <c r="A609" s="3" t="s">
        <v>648</v>
      </c>
    </row>
    <row r="610" spans="1:7" x14ac:dyDescent="0.3">
      <c r="A610" t="s">
        <v>649</v>
      </c>
      <c r="B610" s="1">
        <v>80</v>
      </c>
      <c r="D610" s="9" t="s">
        <v>650</v>
      </c>
      <c r="E610" s="8" t="s">
        <v>651</v>
      </c>
      <c r="F610" s="9">
        <v>80</v>
      </c>
      <c r="G610" s="31">
        <v>16</v>
      </c>
    </row>
    <row r="611" spans="1:7" x14ac:dyDescent="0.3">
      <c r="A611" t="s">
        <v>44</v>
      </c>
      <c r="B611" s="1">
        <v>10</v>
      </c>
      <c r="D611" s="9" t="s">
        <v>45</v>
      </c>
      <c r="E611" s="8" t="s">
        <v>46</v>
      </c>
      <c r="F611" s="9">
        <v>10</v>
      </c>
      <c r="G611" s="31">
        <v>899</v>
      </c>
    </row>
    <row r="612" spans="1:7" x14ac:dyDescent="0.3">
      <c r="A612" t="s">
        <v>21</v>
      </c>
      <c r="B612" s="1">
        <v>5</v>
      </c>
      <c r="D612" s="9" t="s">
        <v>22</v>
      </c>
      <c r="E612" s="8" t="s">
        <v>23</v>
      </c>
      <c r="F612" s="9">
        <v>5</v>
      </c>
      <c r="G612" s="31">
        <v>4</v>
      </c>
    </row>
    <row r="613" spans="1:7" x14ac:dyDescent="0.3">
      <c r="A613" t="s">
        <v>24</v>
      </c>
      <c r="B613" s="1">
        <v>0.3</v>
      </c>
      <c r="D613" s="9" t="s">
        <v>25</v>
      </c>
      <c r="E613" s="8" t="s">
        <v>26</v>
      </c>
      <c r="F613" s="9">
        <v>0.3</v>
      </c>
      <c r="G613" s="31">
        <v>0</v>
      </c>
    </row>
    <row r="614" spans="1:7" x14ac:dyDescent="0.3">
      <c r="A614" s="3" t="s">
        <v>10</v>
      </c>
      <c r="B614" s="1">
        <v>95.3</v>
      </c>
      <c r="E614" s="10" t="s">
        <v>11</v>
      </c>
      <c r="F614" s="12">
        <f>SUM(F610:F613)</f>
        <v>95.3</v>
      </c>
      <c r="G614" s="84">
        <f>(G610*$F610+G611*$F611+G612*$F612+G613*$F613)/$F614</f>
        <v>107.97481636935991</v>
      </c>
    </row>
    <row r="615" spans="1:7" x14ac:dyDescent="0.3">
      <c r="A615" s="3" t="s">
        <v>12</v>
      </c>
      <c r="B615" s="1" t="s">
        <v>13</v>
      </c>
      <c r="E615" s="14"/>
      <c r="F615" s="15"/>
      <c r="G615" s="81"/>
    </row>
    <row r="616" spans="1:7" x14ac:dyDescent="0.3">
      <c r="E616" s="17"/>
      <c r="F616" s="1"/>
      <c r="G616" s="79"/>
    </row>
    <row r="617" spans="1:7" x14ac:dyDescent="0.3">
      <c r="E617" s="17"/>
      <c r="F617" s="1"/>
      <c r="G617" s="82"/>
    </row>
    <row r="618" spans="1:7" x14ac:dyDescent="0.3">
      <c r="A618" s="3" t="s">
        <v>652</v>
      </c>
    </row>
    <row r="619" spans="1:7" x14ac:dyDescent="0.3">
      <c r="A619" t="s">
        <v>374</v>
      </c>
      <c r="B619" s="1">
        <v>40</v>
      </c>
      <c r="D619" s="9" t="s">
        <v>375</v>
      </c>
      <c r="E619" s="8" t="s">
        <v>376</v>
      </c>
      <c r="F619" s="9">
        <v>40</v>
      </c>
      <c r="G619" s="31">
        <v>14</v>
      </c>
    </row>
    <row r="620" spans="1:7" x14ac:dyDescent="0.3">
      <c r="A620" t="s">
        <v>845</v>
      </c>
      <c r="B620" s="1">
        <v>40</v>
      </c>
      <c r="D620" s="9" t="s">
        <v>377</v>
      </c>
      <c r="E620" s="8" t="s">
        <v>845</v>
      </c>
      <c r="F620" s="9">
        <v>40</v>
      </c>
      <c r="G620" s="31">
        <v>26</v>
      </c>
    </row>
    <row r="621" spans="1:7" x14ac:dyDescent="0.3">
      <c r="A621" t="s">
        <v>371</v>
      </c>
      <c r="B621" s="1">
        <v>40</v>
      </c>
      <c r="D621" s="9" t="s">
        <v>372</v>
      </c>
      <c r="E621" s="8" t="s">
        <v>373</v>
      </c>
      <c r="F621" s="9">
        <v>40</v>
      </c>
      <c r="G621" s="31">
        <v>20</v>
      </c>
    </row>
    <row r="622" spans="1:7" x14ac:dyDescent="0.3">
      <c r="A622" t="s">
        <v>840</v>
      </c>
      <c r="B622" s="1">
        <v>40</v>
      </c>
      <c r="D622" s="9" t="s">
        <v>308</v>
      </c>
      <c r="E622" s="8" t="s">
        <v>840</v>
      </c>
      <c r="F622" s="9">
        <v>40</v>
      </c>
      <c r="G622" s="31">
        <v>21</v>
      </c>
    </row>
    <row r="623" spans="1:7" x14ac:dyDescent="0.3">
      <c r="A623" t="s">
        <v>126</v>
      </c>
      <c r="B623" s="1">
        <v>40</v>
      </c>
      <c r="D623" s="9" t="s">
        <v>127</v>
      </c>
      <c r="E623" s="8" t="s">
        <v>128</v>
      </c>
      <c r="F623" s="9">
        <v>40</v>
      </c>
      <c r="G623" s="31">
        <v>28</v>
      </c>
    </row>
    <row r="624" spans="1:7" x14ac:dyDescent="0.3">
      <c r="A624" t="s">
        <v>44</v>
      </c>
      <c r="B624" s="1">
        <v>10</v>
      </c>
      <c r="D624" s="9" t="s">
        <v>45</v>
      </c>
      <c r="E624" s="8" t="s">
        <v>46</v>
      </c>
      <c r="F624" s="9">
        <v>10</v>
      </c>
      <c r="G624" s="31">
        <v>899</v>
      </c>
    </row>
    <row r="625" spans="1:7" x14ac:dyDescent="0.3">
      <c r="A625" t="s">
        <v>846</v>
      </c>
      <c r="B625" s="1">
        <v>15</v>
      </c>
      <c r="D625" s="9" t="s">
        <v>307</v>
      </c>
      <c r="E625" s="8" t="s">
        <v>846</v>
      </c>
      <c r="F625" s="9">
        <v>15</v>
      </c>
      <c r="G625" s="31">
        <v>240</v>
      </c>
    </row>
    <row r="626" spans="1:7" x14ac:dyDescent="0.3">
      <c r="A626" t="s">
        <v>71</v>
      </c>
      <c r="B626" s="1">
        <v>0.1</v>
      </c>
      <c r="D626" s="9" t="s">
        <v>72</v>
      </c>
      <c r="E626" s="8" t="s">
        <v>73</v>
      </c>
      <c r="F626" s="9">
        <v>0.1</v>
      </c>
      <c r="G626" s="31">
        <v>270</v>
      </c>
    </row>
    <row r="627" spans="1:7" x14ac:dyDescent="0.3">
      <c r="A627" t="s">
        <v>24</v>
      </c>
      <c r="B627" s="1">
        <v>0.3</v>
      </c>
      <c r="D627" s="9" t="s">
        <v>25</v>
      </c>
      <c r="E627" s="8" t="s">
        <v>26</v>
      </c>
      <c r="F627" s="9">
        <v>0.3</v>
      </c>
      <c r="G627" s="31">
        <v>0</v>
      </c>
    </row>
    <row r="628" spans="1:7" x14ac:dyDescent="0.3">
      <c r="A628" t="s">
        <v>98</v>
      </c>
      <c r="B628" s="1">
        <v>1</v>
      </c>
      <c r="D628" s="9" t="s">
        <v>99</v>
      </c>
      <c r="E628" s="8" t="s">
        <v>100</v>
      </c>
      <c r="F628" s="9">
        <v>1</v>
      </c>
      <c r="G628" s="31">
        <v>88</v>
      </c>
    </row>
    <row r="629" spans="1:7" x14ac:dyDescent="0.3">
      <c r="A629" s="3" t="s">
        <v>10</v>
      </c>
      <c r="B629" s="1">
        <v>226.4</v>
      </c>
      <c r="E629" s="10" t="s">
        <v>11</v>
      </c>
      <c r="F629" s="12">
        <f>SUM(F619:F628)</f>
        <v>226.4</v>
      </c>
      <c r="G629" s="84">
        <f>(G624*$F624+G625*$F625+G626*$F626+G627*$F627+G628*$F628+$F622*G622+$F623*G623+G621*$F621+G620*$F620+G619*$F619)/$F629</f>
        <v>75.375441696113072</v>
      </c>
    </row>
    <row r="630" spans="1:7" x14ac:dyDescent="0.3">
      <c r="A630" s="3" t="s">
        <v>12</v>
      </c>
      <c r="B630" s="1" t="s">
        <v>13</v>
      </c>
      <c r="E630" s="14"/>
      <c r="F630" s="15"/>
      <c r="G630" s="81"/>
    </row>
    <row r="631" spans="1:7" x14ac:dyDescent="0.3">
      <c r="E631" s="17"/>
      <c r="F631" s="1"/>
      <c r="G631" s="79"/>
    </row>
    <row r="632" spans="1:7" x14ac:dyDescent="0.3">
      <c r="E632" s="17"/>
      <c r="F632" s="1"/>
      <c r="G632" s="82"/>
    </row>
    <row r="633" spans="1:7" x14ac:dyDescent="0.3">
      <c r="A633" s="3" t="s">
        <v>653</v>
      </c>
    </row>
    <row r="634" spans="1:7" x14ac:dyDescent="0.3">
      <c r="A634" t="s">
        <v>854</v>
      </c>
      <c r="B634" s="1">
        <v>125</v>
      </c>
      <c r="D634" s="9" t="s">
        <v>654</v>
      </c>
      <c r="E634" s="8" t="s">
        <v>854</v>
      </c>
      <c r="F634" s="9">
        <v>125</v>
      </c>
      <c r="G634" s="31">
        <v>287</v>
      </c>
    </row>
    <row r="635" spans="1:7" x14ac:dyDescent="0.3">
      <c r="A635" t="s">
        <v>139</v>
      </c>
      <c r="B635" s="1">
        <v>5</v>
      </c>
      <c r="D635" s="9" t="s">
        <v>140</v>
      </c>
      <c r="E635" s="8" t="s">
        <v>141</v>
      </c>
      <c r="F635" s="9">
        <v>5</v>
      </c>
      <c r="G635" s="31">
        <v>387</v>
      </c>
    </row>
    <row r="636" spans="1:7" x14ac:dyDescent="0.3">
      <c r="A636" t="s">
        <v>24</v>
      </c>
      <c r="B636" s="1">
        <v>0.3</v>
      </c>
      <c r="D636" s="9" t="s">
        <v>25</v>
      </c>
      <c r="E636" s="8" t="s">
        <v>26</v>
      </c>
      <c r="F636" s="9">
        <v>0.3</v>
      </c>
      <c r="G636" s="31">
        <v>0</v>
      </c>
    </row>
    <row r="637" spans="1:7" x14ac:dyDescent="0.3">
      <c r="A637" t="s">
        <v>63</v>
      </c>
      <c r="B637" s="1">
        <v>10</v>
      </c>
      <c r="D637" s="9" t="s">
        <v>64</v>
      </c>
      <c r="E637" s="8" t="s">
        <v>65</v>
      </c>
      <c r="F637" s="9">
        <v>10</v>
      </c>
      <c r="G637" s="31">
        <v>758</v>
      </c>
    </row>
    <row r="638" spans="1:7" x14ac:dyDescent="0.3">
      <c r="A638" t="s">
        <v>279</v>
      </c>
      <c r="B638" s="1">
        <v>2</v>
      </c>
      <c r="D638" s="9" t="s">
        <v>280</v>
      </c>
      <c r="E638" s="8" t="s">
        <v>281</v>
      </c>
      <c r="F638" s="9">
        <v>2</v>
      </c>
      <c r="G638" s="31">
        <v>145</v>
      </c>
    </row>
    <row r="639" spans="1:7" x14ac:dyDescent="0.3">
      <c r="A639" s="3" t="s">
        <v>10</v>
      </c>
      <c r="B639" s="1">
        <v>142.30000000000001</v>
      </c>
      <c r="E639" s="10" t="s">
        <v>11</v>
      </c>
      <c r="F639" s="12">
        <f>SUM(F634:F638)</f>
        <v>142.30000000000001</v>
      </c>
      <c r="G639" s="84">
        <f>(G634*$F634+G635*$F635+G636*$F636+G637*$F637+G638*$F638)/$F639</f>
        <v>321.01194659170761</v>
      </c>
    </row>
    <row r="640" spans="1:7" x14ac:dyDescent="0.3">
      <c r="A640" s="3" t="s">
        <v>12</v>
      </c>
      <c r="B640" s="1" t="s">
        <v>13</v>
      </c>
      <c r="E640" s="14"/>
      <c r="F640" s="15"/>
      <c r="G640" s="81"/>
    </row>
    <row r="641" spans="1:7" x14ac:dyDescent="0.3">
      <c r="E641" s="17"/>
      <c r="F641" s="1"/>
      <c r="G641" s="79"/>
    </row>
    <row r="642" spans="1:7" x14ac:dyDescent="0.3">
      <c r="E642" s="17"/>
      <c r="F642" s="1"/>
      <c r="G642" s="82"/>
    </row>
    <row r="643" spans="1:7" x14ac:dyDescent="0.3">
      <c r="A643" s="3" t="s">
        <v>655</v>
      </c>
    </row>
    <row r="644" spans="1:7" x14ac:dyDescent="0.3">
      <c r="A644" t="s">
        <v>854</v>
      </c>
      <c r="B644" s="1">
        <v>125</v>
      </c>
      <c r="D644" s="9" t="s">
        <v>654</v>
      </c>
      <c r="E644" s="8" t="s">
        <v>854</v>
      </c>
      <c r="F644" s="9">
        <v>125</v>
      </c>
      <c r="G644" s="31">
        <v>287</v>
      </c>
    </row>
    <row r="645" spans="1:7" x14ac:dyDescent="0.3">
      <c r="A645" t="s">
        <v>139</v>
      </c>
      <c r="B645" s="1">
        <v>7</v>
      </c>
      <c r="D645" s="9" t="s">
        <v>140</v>
      </c>
      <c r="E645" s="8" t="s">
        <v>141</v>
      </c>
      <c r="F645" s="9">
        <v>7</v>
      </c>
      <c r="G645" s="31">
        <v>387</v>
      </c>
    </row>
    <row r="646" spans="1:7" x14ac:dyDescent="0.3">
      <c r="A646" t="s">
        <v>24</v>
      </c>
      <c r="B646" s="1">
        <v>0.3</v>
      </c>
      <c r="D646" s="9" t="s">
        <v>25</v>
      </c>
      <c r="E646" s="8" t="s">
        <v>26</v>
      </c>
      <c r="F646" s="9">
        <v>0.3</v>
      </c>
      <c r="G646" s="31">
        <v>0</v>
      </c>
    </row>
    <row r="647" spans="1:7" x14ac:dyDescent="0.3">
      <c r="A647" t="s">
        <v>44</v>
      </c>
      <c r="B647" s="1">
        <v>10</v>
      </c>
      <c r="D647" s="9" t="s">
        <v>45</v>
      </c>
      <c r="E647" s="8" t="s">
        <v>46</v>
      </c>
      <c r="F647" s="9">
        <v>10</v>
      </c>
      <c r="G647" s="31">
        <v>899</v>
      </c>
    </row>
    <row r="648" spans="1:7" x14ac:dyDescent="0.3">
      <c r="A648" s="3" t="s">
        <v>10</v>
      </c>
      <c r="B648" s="1">
        <v>142.30000000000001</v>
      </c>
      <c r="E648" s="10" t="s">
        <v>11</v>
      </c>
      <c r="F648" s="12">
        <f>SUM(F644:F647)</f>
        <v>142.30000000000001</v>
      </c>
      <c r="G648" s="84">
        <f>(G644*$F644+G645*$F645+G646*$F646+G647*$F647)/$F648</f>
        <v>334.32185523541813</v>
      </c>
    </row>
    <row r="649" spans="1:7" x14ac:dyDescent="0.3">
      <c r="A649" s="3" t="s">
        <v>12</v>
      </c>
      <c r="B649" s="1" t="s">
        <v>13</v>
      </c>
      <c r="E649" s="14"/>
      <c r="F649" s="15"/>
      <c r="G649" s="81"/>
    </row>
    <row r="650" spans="1:7" x14ac:dyDescent="0.3">
      <c r="E650" s="17"/>
      <c r="F650" s="1"/>
      <c r="G650" s="79"/>
    </row>
    <row r="651" spans="1:7" x14ac:dyDescent="0.3">
      <c r="E651" s="17"/>
      <c r="F651" s="1"/>
      <c r="G651" s="82"/>
    </row>
    <row r="652" spans="1:7" x14ac:dyDescent="0.3">
      <c r="A652" s="3" t="s">
        <v>656</v>
      </c>
    </row>
    <row r="653" spans="1:7" x14ac:dyDescent="0.3">
      <c r="A653" t="s">
        <v>854</v>
      </c>
      <c r="B653" s="1">
        <v>125</v>
      </c>
      <c r="D653" s="9" t="s">
        <v>654</v>
      </c>
      <c r="E653" s="8" t="s">
        <v>854</v>
      </c>
      <c r="F653" s="9">
        <v>125</v>
      </c>
      <c r="G653" s="31">
        <v>287</v>
      </c>
    </row>
    <row r="654" spans="1:7" x14ac:dyDescent="0.3">
      <c r="A654" t="s">
        <v>44</v>
      </c>
      <c r="B654" s="1">
        <v>10</v>
      </c>
      <c r="D654" s="9" t="s">
        <v>45</v>
      </c>
      <c r="E654" s="8" t="s">
        <v>46</v>
      </c>
      <c r="F654" s="9">
        <v>10</v>
      </c>
      <c r="G654" s="31">
        <v>899</v>
      </c>
    </row>
    <row r="655" spans="1:7" x14ac:dyDescent="0.3">
      <c r="A655" t="s">
        <v>126</v>
      </c>
      <c r="B655" s="1">
        <v>20</v>
      </c>
      <c r="D655" s="9" t="s">
        <v>127</v>
      </c>
      <c r="E655" s="8" t="s">
        <v>128</v>
      </c>
      <c r="F655" s="9">
        <v>20</v>
      </c>
      <c r="G655" s="31">
        <v>28</v>
      </c>
    </row>
    <row r="656" spans="1:7" x14ac:dyDescent="0.3">
      <c r="A656" t="s">
        <v>825</v>
      </c>
      <c r="B656" s="1">
        <v>80</v>
      </c>
      <c r="D656" s="65" t="s">
        <v>213</v>
      </c>
      <c r="E656" s="8" t="s">
        <v>825</v>
      </c>
      <c r="F656" s="9">
        <v>80</v>
      </c>
      <c r="G656" s="83">
        <v>36</v>
      </c>
    </row>
    <row r="657" spans="1:7" x14ac:dyDescent="0.3">
      <c r="A657" t="s">
        <v>139</v>
      </c>
      <c r="B657" s="1">
        <v>5</v>
      </c>
      <c r="D657" s="9" t="s">
        <v>140</v>
      </c>
      <c r="E657" s="8" t="s">
        <v>141</v>
      </c>
      <c r="F657" s="9">
        <v>5</v>
      </c>
      <c r="G657" s="31">
        <v>387</v>
      </c>
    </row>
    <row r="658" spans="1:7" x14ac:dyDescent="0.3">
      <c r="A658" t="s">
        <v>24</v>
      </c>
      <c r="B658" s="1">
        <v>0.3</v>
      </c>
      <c r="D658" s="9" t="s">
        <v>25</v>
      </c>
      <c r="E658" s="8" t="s">
        <v>26</v>
      </c>
      <c r="F658" s="9">
        <v>0.3</v>
      </c>
      <c r="G658" s="31">
        <v>0</v>
      </c>
    </row>
    <row r="659" spans="1:7" x14ac:dyDescent="0.3">
      <c r="A659" s="3" t="s">
        <v>10</v>
      </c>
      <c r="B659" s="1">
        <v>240.3</v>
      </c>
      <c r="E659" s="10" t="s">
        <v>11</v>
      </c>
      <c r="F659" s="12">
        <f>SUM(F653:F658)</f>
        <v>240.3</v>
      </c>
      <c r="G659" s="84">
        <f>(G654*$F654+G655*$F655+G656*$F656+G657*$F657+G658*$F658+G653*$F653)/$F659</f>
        <v>209.07199334165625</v>
      </c>
    </row>
    <row r="660" spans="1:7" x14ac:dyDescent="0.3">
      <c r="A660" s="3" t="s">
        <v>12</v>
      </c>
      <c r="B660" s="1" t="s">
        <v>13</v>
      </c>
      <c r="E660" s="14"/>
      <c r="F660" s="15"/>
      <c r="G660" s="81"/>
    </row>
    <row r="661" spans="1:7" x14ac:dyDescent="0.3">
      <c r="E661" s="17"/>
      <c r="F661" s="1"/>
      <c r="G661" s="79"/>
    </row>
    <row r="662" spans="1:7" x14ac:dyDescent="0.3">
      <c r="E662" s="17"/>
      <c r="F662" s="1"/>
      <c r="G662" s="82"/>
    </row>
    <row r="663" spans="1:7" x14ac:dyDescent="0.3">
      <c r="A663" s="3" t="s">
        <v>657</v>
      </c>
    </row>
    <row r="664" spans="1:7" x14ac:dyDescent="0.3">
      <c r="A664" t="s">
        <v>658</v>
      </c>
      <c r="B664" s="1">
        <v>125</v>
      </c>
      <c r="D664" s="36" t="s">
        <v>659</v>
      </c>
      <c r="E664" s="87" t="s">
        <v>854</v>
      </c>
      <c r="F664" s="9">
        <v>125</v>
      </c>
      <c r="G664" s="17">
        <v>287</v>
      </c>
    </row>
    <row r="665" spans="1:7" x14ac:dyDescent="0.3">
      <c r="A665" t="s">
        <v>63</v>
      </c>
      <c r="B665" s="1">
        <v>10</v>
      </c>
      <c r="D665" s="9" t="s">
        <v>64</v>
      </c>
      <c r="E665" s="8" t="s">
        <v>65</v>
      </c>
      <c r="F665" s="9">
        <v>10</v>
      </c>
      <c r="G665" s="31">
        <v>758</v>
      </c>
    </row>
    <row r="666" spans="1:7" x14ac:dyDescent="0.3">
      <c r="A666" t="s">
        <v>449</v>
      </c>
      <c r="B666" s="1">
        <v>5</v>
      </c>
      <c r="D666" s="9" t="s">
        <v>140</v>
      </c>
      <c r="E666" s="8" t="s">
        <v>141</v>
      </c>
      <c r="F666" s="9">
        <v>5</v>
      </c>
      <c r="G666" s="31">
        <v>387</v>
      </c>
    </row>
    <row r="667" spans="1:7" x14ac:dyDescent="0.3">
      <c r="A667" t="s">
        <v>71</v>
      </c>
      <c r="B667" s="1">
        <v>0.1</v>
      </c>
      <c r="D667" s="9" t="s">
        <v>72</v>
      </c>
      <c r="E667" s="8" t="s">
        <v>73</v>
      </c>
      <c r="F667" s="9">
        <v>0.1</v>
      </c>
      <c r="G667" s="31">
        <v>270</v>
      </c>
    </row>
    <row r="668" spans="1:7" x14ac:dyDescent="0.3">
      <c r="A668" t="s">
        <v>24</v>
      </c>
      <c r="B668" s="1">
        <v>0.3</v>
      </c>
      <c r="D668" s="9" t="s">
        <v>25</v>
      </c>
      <c r="E668" s="8" t="s">
        <v>26</v>
      </c>
      <c r="F668" s="9">
        <v>0.3</v>
      </c>
      <c r="G668" s="31">
        <v>0</v>
      </c>
    </row>
    <row r="669" spans="1:7" x14ac:dyDescent="0.3">
      <c r="A669" t="s">
        <v>279</v>
      </c>
      <c r="B669" s="1">
        <v>2</v>
      </c>
      <c r="D669" s="9" t="s">
        <v>280</v>
      </c>
      <c r="E669" s="8" t="s">
        <v>281</v>
      </c>
      <c r="F669" s="9">
        <v>2</v>
      </c>
      <c r="G669" s="31">
        <v>145</v>
      </c>
    </row>
    <row r="670" spans="1:7" x14ac:dyDescent="0.3">
      <c r="A670" s="3" t="s">
        <v>10</v>
      </c>
      <c r="B670" s="1">
        <v>142.4</v>
      </c>
      <c r="E670" s="10" t="s">
        <v>11</v>
      </c>
      <c r="F670" s="12">
        <f>SUM(F664:F669)</f>
        <v>142.4</v>
      </c>
      <c r="G670" s="84">
        <f>(G665*$F665+G666*$F666+G667*$F667+G668*$F668+G669*$F669+G664*$F664)/$F670</f>
        <v>320.97612359550561</v>
      </c>
    </row>
    <row r="671" spans="1:7" x14ac:dyDescent="0.3">
      <c r="A671" s="3" t="s">
        <v>12</v>
      </c>
      <c r="B671" s="1" t="s">
        <v>13</v>
      </c>
      <c r="E671" s="14"/>
      <c r="F671" s="15"/>
      <c r="G671" s="81"/>
    </row>
    <row r="672" spans="1:7" x14ac:dyDescent="0.3">
      <c r="E672" s="17"/>
      <c r="F672" s="1"/>
      <c r="G672" s="79"/>
    </row>
    <row r="673" spans="1:7" x14ac:dyDescent="0.3">
      <c r="E673" s="17"/>
      <c r="F673" s="1"/>
      <c r="G673" s="82"/>
    </row>
    <row r="674" spans="1:7" x14ac:dyDescent="0.3">
      <c r="A674" s="3" t="s">
        <v>660</v>
      </c>
    </row>
    <row r="675" spans="1:7" x14ac:dyDescent="0.3">
      <c r="A675" t="s">
        <v>658</v>
      </c>
      <c r="B675" s="1">
        <v>125</v>
      </c>
      <c r="D675" s="36" t="s">
        <v>659</v>
      </c>
      <c r="E675" s="87" t="s">
        <v>854</v>
      </c>
      <c r="F675" s="9">
        <v>125</v>
      </c>
      <c r="G675" s="17">
        <v>287</v>
      </c>
    </row>
    <row r="676" spans="1:7" x14ac:dyDescent="0.3">
      <c r="A676" t="s">
        <v>44</v>
      </c>
      <c r="B676" s="1">
        <v>10</v>
      </c>
      <c r="D676" s="9" t="s">
        <v>45</v>
      </c>
      <c r="E676" s="8" t="s">
        <v>46</v>
      </c>
      <c r="F676" s="9">
        <v>10</v>
      </c>
      <c r="G676" s="31">
        <v>899</v>
      </c>
    </row>
    <row r="677" spans="1:7" x14ac:dyDescent="0.3">
      <c r="A677" t="s">
        <v>449</v>
      </c>
      <c r="B677" s="1">
        <v>5</v>
      </c>
      <c r="D677" s="9" t="s">
        <v>140</v>
      </c>
      <c r="E677" s="8" t="s">
        <v>141</v>
      </c>
      <c r="F677" s="9">
        <v>5</v>
      </c>
      <c r="G677" s="31">
        <v>387</v>
      </c>
    </row>
    <row r="678" spans="1:7" x14ac:dyDescent="0.3">
      <c r="A678" t="s">
        <v>71</v>
      </c>
      <c r="B678" s="1">
        <v>0.1</v>
      </c>
      <c r="D678" s="9" t="s">
        <v>72</v>
      </c>
      <c r="E678" s="8" t="s">
        <v>73</v>
      </c>
      <c r="F678" s="9">
        <v>0.1</v>
      </c>
      <c r="G678" s="31">
        <v>270</v>
      </c>
    </row>
    <row r="679" spans="1:7" x14ac:dyDescent="0.3">
      <c r="A679" t="s">
        <v>24</v>
      </c>
      <c r="B679" s="1">
        <v>0.3</v>
      </c>
      <c r="D679" s="9" t="s">
        <v>25</v>
      </c>
      <c r="E679" s="8" t="s">
        <v>26</v>
      </c>
      <c r="F679" s="9">
        <v>0.3</v>
      </c>
      <c r="G679" s="31">
        <v>0</v>
      </c>
    </row>
    <row r="680" spans="1:7" x14ac:dyDescent="0.3">
      <c r="A680" s="3" t="s">
        <v>10</v>
      </c>
      <c r="B680" s="1">
        <v>140.4</v>
      </c>
      <c r="E680" s="10" t="s">
        <v>11</v>
      </c>
      <c r="F680" s="12">
        <f>SUM(F675:F679)</f>
        <v>140.4</v>
      </c>
      <c r="G680" s="84">
        <f>(G675*$F675+G676*$F676+G677*$F677+G678*$F678+G679*$F679)/$F680</f>
        <v>333.52564102564099</v>
      </c>
    </row>
    <row r="681" spans="1:7" x14ac:dyDescent="0.3">
      <c r="A681" s="3" t="s">
        <v>12</v>
      </c>
      <c r="B681" s="1" t="s">
        <v>13</v>
      </c>
      <c r="E681" s="14"/>
      <c r="F681" s="15"/>
      <c r="G681" s="81"/>
    </row>
    <row r="682" spans="1:7" x14ac:dyDescent="0.3">
      <c r="E682" s="17"/>
      <c r="F682" s="1"/>
      <c r="G682" s="79"/>
    </row>
    <row r="683" spans="1:7" x14ac:dyDescent="0.3">
      <c r="E683" s="17"/>
      <c r="F683" s="1"/>
      <c r="G683" s="82"/>
    </row>
    <row r="684" spans="1:7" x14ac:dyDescent="0.3">
      <c r="A684" s="3" t="s">
        <v>661</v>
      </c>
    </row>
    <row r="685" spans="1:7" x14ac:dyDescent="0.3">
      <c r="A685" t="s">
        <v>658</v>
      </c>
      <c r="B685" s="1">
        <v>125</v>
      </c>
      <c r="D685" s="36" t="s">
        <v>659</v>
      </c>
      <c r="E685" s="87" t="s">
        <v>854</v>
      </c>
      <c r="F685" s="9">
        <v>125</v>
      </c>
      <c r="G685" s="17">
        <v>287</v>
      </c>
    </row>
    <row r="686" spans="1:7" x14ac:dyDescent="0.3">
      <c r="A686" t="s">
        <v>825</v>
      </c>
      <c r="B686" s="1">
        <v>80</v>
      </c>
      <c r="D686" s="65" t="s">
        <v>213</v>
      </c>
      <c r="E686" s="8" t="s">
        <v>825</v>
      </c>
      <c r="F686" s="9">
        <v>80</v>
      </c>
      <c r="G686" s="83">
        <v>36</v>
      </c>
    </row>
    <row r="687" spans="1:7" x14ac:dyDescent="0.3">
      <c r="A687" t="s">
        <v>126</v>
      </c>
      <c r="B687" s="1">
        <v>20</v>
      </c>
      <c r="D687" s="9" t="s">
        <v>127</v>
      </c>
      <c r="E687" s="8" t="s">
        <v>128</v>
      </c>
      <c r="F687" s="9">
        <v>20</v>
      </c>
      <c r="G687" s="31">
        <v>28</v>
      </c>
    </row>
    <row r="688" spans="1:7" x14ac:dyDescent="0.3">
      <c r="A688" t="s">
        <v>44</v>
      </c>
      <c r="B688" s="1">
        <v>10</v>
      </c>
      <c r="D688" s="9" t="s">
        <v>45</v>
      </c>
      <c r="E688" s="8" t="s">
        <v>46</v>
      </c>
      <c r="F688" s="9">
        <v>10</v>
      </c>
      <c r="G688" s="31">
        <v>899</v>
      </c>
    </row>
    <row r="689" spans="1:7" x14ac:dyDescent="0.3">
      <c r="A689" t="s">
        <v>449</v>
      </c>
      <c r="B689" s="1">
        <v>5</v>
      </c>
      <c r="D689" s="9" t="s">
        <v>140</v>
      </c>
      <c r="E689" s="8" t="s">
        <v>141</v>
      </c>
      <c r="F689" s="9">
        <v>5</v>
      </c>
      <c r="G689" s="31">
        <v>387</v>
      </c>
    </row>
    <row r="690" spans="1:7" x14ac:dyDescent="0.3">
      <c r="A690" t="s">
        <v>24</v>
      </c>
      <c r="B690" s="1">
        <v>0.3</v>
      </c>
      <c r="D690" s="9" t="s">
        <v>25</v>
      </c>
      <c r="E690" s="8" t="s">
        <v>26</v>
      </c>
      <c r="F690" s="9">
        <v>0.3</v>
      </c>
      <c r="G690" s="31">
        <v>0</v>
      </c>
    </row>
    <row r="691" spans="1:7" x14ac:dyDescent="0.3">
      <c r="A691" t="s">
        <v>71</v>
      </c>
      <c r="B691" s="1">
        <v>0.1</v>
      </c>
      <c r="D691" s="9" t="s">
        <v>72</v>
      </c>
      <c r="E691" s="8" t="s">
        <v>73</v>
      </c>
      <c r="F691" s="9">
        <v>0.1</v>
      </c>
      <c r="G691" s="31">
        <v>270</v>
      </c>
    </row>
    <row r="692" spans="1:7" x14ac:dyDescent="0.3">
      <c r="A692" s="3" t="s">
        <v>10</v>
      </c>
      <c r="B692" s="1">
        <v>240.4</v>
      </c>
      <c r="E692" s="10" t="s">
        <v>11</v>
      </c>
      <c r="F692" s="12">
        <f>SUM(F685:F691)</f>
        <v>240.4</v>
      </c>
      <c r="G692" s="84">
        <f>(G687*$F687+G688*$F688+G689*$F689+G690*$F690+G691*$F691+G686*$F686+G685*$F685)/$F692</f>
        <v>209.09733777038269</v>
      </c>
    </row>
    <row r="693" spans="1:7" x14ac:dyDescent="0.3">
      <c r="A693" s="3" t="s">
        <v>12</v>
      </c>
      <c r="B693" s="1" t="s">
        <v>13</v>
      </c>
      <c r="E693" s="14"/>
      <c r="F693" s="15"/>
      <c r="G693" s="81"/>
    </row>
    <row r="694" spans="1:7" x14ac:dyDescent="0.3">
      <c r="E694" s="17"/>
      <c r="F694" s="1"/>
      <c r="G694" s="79"/>
    </row>
    <row r="695" spans="1:7" x14ac:dyDescent="0.3">
      <c r="E695" s="17"/>
      <c r="F695" s="1"/>
      <c r="G695" s="82"/>
    </row>
    <row r="696" spans="1:7" x14ac:dyDescent="0.3">
      <c r="A696" s="3" t="s">
        <v>855</v>
      </c>
    </row>
    <row r="697" spans="1:7" x14ac:dyDescent="0.3">
      <c r="A697" t="s">
        <v>856</v>
      </c>
      <c r="B697" s="1">
        <v>80</v>
      </c>
      <c r="D697" s="65" t="s">
        <v>662</v>
      </c>
      <c r="E697" s="8" t="s">
        <v>856</v>
      </c>
      <c r="F697" s="9">
        <v>80</v>
      </c>
      <c r="G697" s="17">
        <v>367</v>
      </c>
    </row>
    <row r="698" spans="1:7" x14ac:dyDescent="0.3">
      <c r="A698" t="s">
        <v>24</v>
      </c>
      <c r="B698" s="1">
        <v>0.3</v>
      </c>
      <c r="D698" s="9" t="s">
        <v>25</v>
      </c>
      <c r="E698" s="8" t="s">
        <v>26</v>
      </c>
      <c r="F698" s="9">
        <v>0.3</v>
      </c>
      <c r="G698" s="31">
        <v>0</v>
      </c>
    </row>
    <row r="699" spans="1:7" x14ac:dyDescent="0.3">
      <c r="A699" s="3" t="s">
        <v>10</v>
      </c>
      <c r="B699" s="1">
        <v>80.3</v>
      </c>
      <c r="E699" s="10" t="s">
        <v>11</v>
      </c>
      <c r="F699" s="12">
        <f>SUM(F697:F698)</f>
        <v>80.3</v>
      </c>
      <c r="G699" s="84">
        <f>(G697*$F697+G698*$F698)/$F699</f>
        <v>365.62889165628894</v>
      </c>
    </row>
    <row r="700" spans="1:7" x14ac:dyDescent="0.3">
      <c r="A700" s="3" t="s">
        <v>12</v>
      </c>
      <c r="B700" s="1" t="s">
        <v>13</v>
      </c>
      <c r="E700" s="14"/>
      <c r="F700" s="15"/>
      <c r="G700" s="81"/>
    </row>
    <row r="701" spans="1:7" x14ac:dyDescent="0.3">
      <c r="E701" s="17"/>
      <c r="F701" s="1"/>
      <c r="G701" s="79"/>
    </row>
    <row r="702" spans="1:7" x14ac:dyDescent="0.3">
      <c r="E702" s="17"/>
      <c r="F702" s="1"/>
      <c r="G702" s="82"/>
    </row>
    <row r="703" spans="1:7" x14ac:dyDescent="0.3">
      <c r="A703" s="3" t="s">
        <v>663</v>
      </c>
    </row>
    <row r="704" spans="1:7" x14ac:dyDescent="0.3">
      <c r="A704" t="s">
        <v>857</v>
      </c>
      <c r="B704" s="1">
        <v>80</v>
      </c>
      <c r="D704" s="9" t="s">
        <v>382</v>
      </c>
      <c r="E704" s="8" t="s">
        <v>857</v>
      </c>
      <c r="F704" s="9">
        <v>80</v>
      </c>
      <c r="G704" s="31">
        <v>334</v>
      </c>
    </row>
    <row r="705" spans="1:7" x14ac:dyDescent="0.3">
      <c r="A705" t="s">
        <v>270</v>
      </c>
      <c r="B705" s="1">
        <v>50</v>
      </c>
      <c r="D705" s="9" t="s">
        <v>271</v>
      </c>
      <c r="E705" s="8" t="s">
        <v>272</v>
      </c>
      <c r="F705" s="9">
        <v>50</v>
      </c>
      <c r="G705" s="31">
        <v>70</v>
      </c>
    </row>
    <row r="706" spans="1:7" x14ac:dyDescent="0.3">
      <c r="A706" t="s">
        <v>44</v>
      </c>
      <c r="B706" s="1">
        <v>10</v>
      </c>
      <c r="D706" s="9" t="s">
        <v>45</v>
      </c>
      <c r="E706" s="8" t="s">
        <v>46</v>
      </c>
      <c r="F706" s="9">
        <v>10</v>
      </c>
      <c r="G706" s="31">
        <v>899</v>
      </c>
    </row>
    <row r="707" spans="1:7" x14ac:dyDescent="0.3">
      <c r="A707" t="s">
        <v>139</v>
      </c>
      <c r="B707" s="1">
        <v>5</v>
      </c>
      <c r="D707" s="9" t="s">
        <v>140</v>
      </c>
      <c r="E707" s="8" t="s">
        <v>141</v>
      </c>
      <c r="F707" s="9">
        <v>5</v>
      </c>
      <c r="G707" s="31">
        <v>387</v>
      </c>
    </row>
    <row r="708" spans="1:7" x14ac:dyDescent="0.3">
      <c r="A708" t="s">
        <v>71</v>
      </c>
      <c r="B708" s="1">
        <v>0.1</v>
      </c>
      <c r="D708" s="9" t="s">
        <v>72</v>
      </c>
      <c r="E708" s="8" t="s">
        <v>73</v>
      </c>
      <c r="F708" s="9">
        <v>0.1</v>
      </c>
      <c r="G708" s="31">
        <v>270</v>
      </c>
    </row>
    <row r="709" spans="1:7" x14ac:dyDescent="0.3">
      <c r="A709" t="s">
        <v>24</v>
      </c>
      <c r="B709" s="1">
        <v>0.3</v>
      </c>
      <c r="D709" s="9" t="s">
        <v>25</v>
      </c>
      <c r="E709" s="8" t="s">
        <v>26</v>
      </c>
      <c r="F709" s="9">
        <v>0.3</v>
      </c>
      <c r="G709" s="31">
        <v>0</v>
      </c>
    </row>
    <row r="710" spans="1:7" x14ac:dyDescent="0.3">
      <c r="A710" s="3" t="s">
        <v>10</v>
      </c>
      <c r="B710" s="1">
        <v>145.4</v>
      </c>
      <c r="E710" s="10" t="s">
        <v>11</v>
      </c>
      <c r="F710" s="12">
        <f>SUM(F704:F709)</f>
        <v>145.4</v>
      </c>
      <c r="G710" s="84">
        <f>(G705*$F705+G706*$F706+G707*$F707+G708*$F708+G709*$F709+G704*$F704)/$F710</f>
        <v>283.16368638239339</v>
      </c>
    </row>
    <row r="711" spans="1:7" x14ac:dyDescent="0.3">
      <c r="A711" s="3" t="s">
        <v>12</v>
      </c>
      <c r="B711" s="1" t="s">
        <v>13</v>
      </c>
      <c r="E711" s="14"/>
      <c r="F711" s="15"/>
      <c r="G711" s="81"/>
    </row>
    <row r="712" spans="1:7" x14ac:dyDescent="0.3">
      <c r="E712" s="17"/>
      <c r="F712" s="1"/>
      <c r="G712" s="79"/>
    </row>
    <row r="713" spans="1:7" x14ac:dyDescent="0.3">
      <c r="E713" s="17"/>
      <c r="F713" s="1"/>
      <c r="G713" s="82"/>
    </row>
    <row r="714" spans="1:7" x14ac:dyDescent="0.3">
      <c r="A714" s="3" t="s">
        <v>664</v>
      </c>
    </row>
    <row r="715" spans="1:7" x14ac:dyDescent="0.3">
      <c r="A715" t="s">
        <v>857</v>
      </c>
      <c r="B715" s="1">
        <v>80</v>
      </c>
      <c r="D715" s="9" t="s">
        <v>382</v>
      </c>
      <c r="E715" s="8" t="s">
        <v>857</v>
      </c>
      <c r="F715" s="9">
        <v>80</v>
      </c>
      <c r="G715" s="31">
        <v>334</v>
      </c>
    </row>
    <row r="716" spans="1:7" x14ac:dyDescent="0.3">
      <c r="A716" t="s">
        <v>44</v>
      </c>
      <c r="B716" s="1">
        <v>10</v>
      </c>
      <c r="D716" s="9" t="s">
        <v>45</v>
      </c>
      <c r="E716" s="8" t="s">
        <v>46</v>
      </c>
      <c r="F716" s="9">
        <v>10</v>
      </c>
      <c r="G716" s="31">
        <v>899</v>
      </c>
    </row>
    <row r="717" spans="1:7" x14ac:dyDescent="0.3">
      <c r="A717" t="s">
        <v>126</v>
      </c>
      <c r="B717" s="1">
        <v>15</v>
      </c>
      <c r="D717" s="9" t="s">
        <v>127</v>
      </c>
      <c r="E717" s="8" t="s">
        <v>128</v>
      </c>
      <c r="F717" s="9">
        <v>15</v>
      </c>
      <c r="G717" s="31">
        <v>28</v>
      </c>
    </row>
    <row r="718" spans="1:7" x14ac:dyDescent="0.3">
      <c r="A718" t="s">
        <v>374</v>
      </c>
      <c r="B718" s="1">
        <v>65</v>
      </c>
      <c r="D718" s="9" t="s">
        <v>375</v>
      </c>
      <c r="E718" s="8" t="s">
        <v>376</v>
      </c>
      <c r="F718" s="9">
        <v>65</v>
      </c>
      <c r="G718" s="31">
        <v>14</v>
      </c>
    </row>
    <row r="719" spans="1:7" x14ac:dyDescent="0.3">
      <c r="A719" t="s">
        <v>387</v>
      </c>
      <c r="B719" s="1">
        <v>50</v>
      </c>
      <c r="D719" s="9" t="s">
        <v>388</v>
      </c>
      <c r="E719" s="8" t="s">
        <v>389</v>
      </c>
      <c r="F719" s="9">
        <v>50</v>
      </c>
      <c r="G719" s="31">
        <v>71</v>
      </c>
    </row>
    <row r="720" spans="1:7" x14ac:dyDescent="0.3">
      <c r="A720" t="s">
        <v>24</v>
      </c>
      <c r="B720" s="1">
        <v>0.3</v>
      </c>
      <c r="D720" s="9" t="s">
        <v>25</v>
      </c>
      <c r="E720" s="8" t="s">
        <v>26</v>
      </c>
      <c r="F720" s="9">
        <v>0.3</v>
      </c>
      <c r="G720" s="31">
        <v>0</v>
      </c>
    </row>
    <row r="721" spans="1:7" x14ac:dyDescent="0.3">
      <c r="A721" s="3" t="s">
        <v>10</v>
      </c>
      <c r="B721" s="1">
        <v>220.3</v>
      </c>
      <c r="E721" s="10" t="s">
        <v>11</v>
      </c>
      <c r="F721" s="12">
        <f>SUM(F715:F720)</f>
        <v>220.3</v>
      </c>
      <c r="G721" s="84">
        <f>(G716*$F716+G717*$F717+G718*$F718+G719*$F719+G720*$F720+G715*$F715)/$F721</f>
        <v>184.24875170222424</v>
      </c>
    </row>
    <row r="722" spans="1:7" x14ac:dyDescent="0.3">
      <c r="A722" s="3" t="s">
        <v>12</v>
      </c>
      <c r="B722" s="1" t="s">
        <v>13</v>
      </c>
      <c r="E722" s="14"/>
      <c r="F722" s="15"/>
      <c r="G722" s="81"/>
    </row>
    <row r="723" spans="1:7" x14ac:dyDescent="0.3">
      <c r="E723" s="17"/>
      <c r="F723" s="1"/>
      <c r="G723" s="79"/>
    </row>
    <row r="724" spans="1:7" x14ac:dyDescent="0.3">
      <c r="E724" s="17"/>
      <c r="F724" s="1"/>
      <c r="G724" s="82"/>
    </row>
    <row r="725" spans="1:7" x14ac:dyDescent="0.3">
      <c r="A725" s="3" t="s">
        <v>665</v>
      </c>
    </row>
    <row r="726" spans="1:7" x14ac:dyDescent="0.3">
      <c r="A726" t="s">
        <v>857</v>
      </c>
      <c r="B726" s="1">
        <v>80</v>
      </c>
      <c r="D726" s="9" t="s">
        <v>382</v>
      </c>
      <c r="E726" s="8" t="s">
        <v>857</v>
      </c>
      <c r="F726" s="9">
        <v>80</v>
      </c>
      <c r="G726" s="31">
        <v>334</v>
      </c>
    </row>
    <row r="727" spans="1:7" x14ac:dyDescent="0.3">
      <c r="A727" t="s">
        <v>453</v>
      </c>
      <c r="B727" s="1">
        <v>17</v>
      </c>
      <c r="D727" s="9" t="s">
        <v>454</v>
      </c>
      <c r="E727" s="8" t="s">
        <v>455</v>
      </c>
      <c r="F727" s="9">
        <v>17</v>
      </c>
      <c r="G727" s="31">
        <v>352</v>
      </c>
    </row>
    <row r="728" spans="1:7" x14ac:dyDescent="0.3">
      <c r="A728" t="s">
        <v>44</v>
      </c>
      <c r="B728" s="1">
        <v>10</v>
      </c>
      <c r="D728" s="9" t="s">
        <v>45</v>
      </c>
      <c r="E728" s="8" t="s">
        <v>46</v>
      </c>
      <c r="F728" s="9">
        <v>10</v>
      </c>
      <c r="G728" s="31">
        <v>899</v>
      </c>
    </row>
    <row r="729" spans="1:7" x14ac:dyDescent="0.3">
      <c r="A729" t="s">
        <v>24</v>
      </c>
      <c r="B729" s="1">
        <v>0.3</v>
      </c>
      <c r="D729" s="9" t="s">
        <v>25</v>
      </c>
      <c r="E729" s="8" t="s">
        <v>26</v>
      </c>
      <c r="F729" s="9">
        <v>0.3</v>
      </c>
      <c r="G729" s="31">
        <v>0</v>
      </c>
    </row>
    <row r="730" spans="1:7" x14ac:dyDescent="0.3">
      <c r="A730" t="s">
        <v>71</v>
      </c>
      <c r="B730" s="1">
        <v>0.1</v>
      </c>
      <c r="D730" s="9" t="s">
        <v>72</v>
      </c>
      <c r="E730" s="8" t="s">
        <v>73</v>
      </c>
      <c r="F730" s="9">
        <v>0.1</v>
      </c>
      <c r="G730" s="31">
        <v>270</v>
      </c>
    </row>
    <row r="731" spans="1:7" x14ac:dyDescent="0.3">
      <c r="A731" s="3" t="s">
        <v>10</v>
      </c>
      <c r="B731" s="1">
        <v>107.4</v>
      </c>
      <c r="E731" s="10" t="s">
        <v>11</v>
      </c>
      <c r="F731" s="12">
        <f>SUM(F726:F730)</f>
        <v>107.39999999999999</v>
      </c>
      <c r="G731" s="84">
        <f>(G726*$F726+G727*$F727+G728*$F728+G729*$F729+G730*$F730)/$F731</f>
        <v>388.46368715083804</v>
      </c>
    </row>
    <row r="732" spans="1:7" x14ac:dyDescent="0.3">
      <c r="A732" s="3" t="s">
        <v>12</v>
      </c>
      <c r="B732" s="1" t="s">
        <v>13</v>
      </c>
      <c r="E732" s="14"/>
      <c r="F732" s="15"/>
      <c r="G732" s="81"/>
    </row>
    <row r="733" spans="1:7" x14ac:dyDescent="0.3">
      <c r="E733" s="17"/>
      <c r="F733" s="1"/>
      <c r="G733" s="79"/>
    </row>
    <row r="734" spans="1:7" x14ac:dyDescent="0.3">
      <c r="E734" s="17"/>
      <c r="F734" s="1"/>
      <c r="G734" s="82"/>
    </row>
    <row r="735" spans="1:7" x14ac:dyDescent="0.3">
      <c r="A735" s="3" t="s">
        <v>666</v>
      </c>
    </row>
    <row r="736" spans="1:7" x14ac:dyDescent="0.3">
      <c r="A736" t="s">
        <v>381</v>
      </c>
      <c r="B736" s="1">
        <v>80</v>
      </c>
      <c r="D736" s="9" t="s">
        <v>382</v>
      </c>
      <c r="E736" s="8" t="s">
        <v>857</v>
      </c>
      <c r="F736" s="9">
        <v>80</v>
      </c>
      <c r="G736" s="31">
        <v>334</v>
      </c>
    </row>
    <row r="737" spans="1:7" x14ac:dyDescent="0.3">
      <c r="A737" t="s">
        <v>44</v>
      </c>
      <c r="B737" s="1">
        <v>10</v>
      </c>
      <c r="D737" s="9" t="s">
        <v>45</v>
      </c>
      <c r="E737" s="8" t="s">
        <v>46</v>
      </c>
      <c r="F737" s="9">
        <v>10</v>
      </c>
      <c r="G737" s="31">
        <v>899</v>
      </c>
    </row>
    <row r="738" spans="1:7" x14ac:dyDescent="0.3">
      <c r="A738" t="s">
        <v>24</v>
      </c>
      <c r="B738" s="1">
        <v>0.3</v>
      </c>
      <c r="D738" s="9" t="s">
        <v>25</v>
      </c>
      <c r="E738" s="8" t="s">
        <v>26</v>
      </c>
      <c r="F738" s="9">
        <v>0.3</v>
      </c>
      <c r="G738" s="31">
        <v>0</v>
      </c>
    </row>
    <row r="739" spans="1:7" x14ac:dyDescent="0.3">
      <c r="A739" s="3" t="s">
        <v>10</v>
      </c>
      <c r="B739" s="1">
        <v>90.3</v>
      </c>
      <c r="E739" s="10" t="s">
        <v>11</v>
      </c>
      <c r="F739" s="12">
        <f>SUM(F736:F738)</f>
        <v>90.3</v>
      </c>
      <c r="G739" s="84">
        <f>(G736*$F736+G737*$F737+G738*$F738)/$F739</f>
        <v>395.45957918050942</v>
      </c>
    </row>
    <row r="740" spans="1:7" x14ac:dyDescent="0.3">
      <c r="A740" s="3" t="s">
        <v>12</v>
      </c>
      <c r="B740" s="1" t="s">
        <v>13</v>
      </c>
      <c r="E740" s="14"/>
      <c r="F740" s="15"/>
      <c r="G740" s="81"/>
    </row>
    <row r="741" spans="1:7" x14ac:dyDescent="0.3">
      <c r="E741" s="17"/>
      <c r="F741" s="1"/>
      <c r="G741" s="79"/>
    </row>
    <row r="742" spans="1:7" x14ac:dyDescent="0.3">
      <c r="E742" s="17"/>
      <c r="F742" s="1"/>
      <c r="G742" s="82"/>
    </row>
    <row r="743" spans="1:7" x14ac:dyDescent="0.3">
      <c r="A743" s="3" t="s">
        <v>667</v>
      </c>
    </row>
    <row r="744" spans="1:7" x14ac:dyDescent="0.3">
      <c r="A744" t="s">
        <v>381</v>
      </c>
      <c r="B744" s="1">
        <v>80</v>
      </c>
      <c r="D744" s="9" t="s">
        <v>382</v>
      </c>
      <c r="E744" s="8" t="s">
        <v>857</v>
      </c>
      <c r="F744" s="9">
        <v>80</v>
      </c>
      <c r="G744" s="31">
        <v>334</v>
      </c>
    </row>
    <row r="745" spans="1:7" x14ac:dyDescent="0.3">
      <c r="A745" t="s">
        <v>44</v>
      </c>
      <c r="B745" s="1">
        <v>10</v>
      </c>
      <c r="D745" s="9" t="s">
        <v>45</v>
      </c>
      <c r="E745" s="8" t="s">
        <v>46</v>
      </c>
      <c r="F745" s="9">
        <v>10</v>
      </c>
      <c r="G745" s="31">
        <v>899</v>
      </c>
    </row>
    <row r="746" spans="1:7" x14ac:dyDescent="0.3">
      <c r="A746" t="s">
        <v>449</v>
      </c>
      <c r="B746" s="1">
        <v>5</v>
      </c>
      <c r="D746" s="9" t="s">
        <v>140</v>
      </c>
      <c r="E746" s="8" t="s">
        <v>141</v>
      </c>
      <c r="F746" s="9">
        <v>5</v>
      </c>
      <c r="G746" s="31">
        <v>387</v>
      </c>
    </row>
    <row r="747" spans="1:7" x14ac:dyDescent="0.3">
      <c r="A747" t="s">
        <v>24</v>
      </c>
      <c r="B747" s="1">
        <v>0.3</v>
      </c>
      <c r="D747" s="9" t="s">
        <v>25</v>
      </c>
      <c r="E747" s="8" t="s">
        <v>26</v>
      </c>
      <c r="F747" s="9">
        <v>0.3</v>
      </c>
      <c r="G747" s="31">
        <v>0</v>
      </c>
    </row>
    <row r="748" spans="1:7" x14ac:dyDescent="0.3">
      <c r="A748" s="3" t="s">
        <v>10</v>
      </c>
      <c r="B748" s="1">
        <v>95.3</v>
      </c>
      <c r="E748" s="10" t="s">
        <v>11</v>
      </c>
      <c r="F748" s="12">
        <f>SUM(F744:F747)</f>
        <v>95.3</v>
      </c>
      <c r="G748" s="84">
        <f>(G744*$F744+G745*$F745+G746*$F746+G747*$F747)/$F748</f>
        <v>395.01573976915006</v>
      </c>
    </row>
    <row r="749" spans="1:7" x14ac:dyDescent="0.3">
      <c r="A749" s="3" t="s">
        <v>12</v>
      </c>
      <c r="B749" s="1" t="s">
        <v>13</v>
      </c>
      <c r="E749" s="14"/>
      <c r="F749" s="15"/>
      <c r="G749" s="81"/>
    </row>
    <row r="750" spans="1:7" x14ac:dyDescent="0.3">
      <c r="E750" s="17"/>
      <c r="F750" s="1"/>
      <c r="G750" s="79"/>
    </row>
    <row r="751" spans="1:7" x14ac:dyDescent="0.3">
      <c r="E751" s="17"/>
      <c r="F751" s="1"/>
      <c r="G751" s="82"/>
    </row>
    <row r="752" spans="1:7" x14ac:dyDescent="0.3">
      <c r="A752" s="3" t="s">
        <v>668</v>
      </c>
    </row>
    <row r="753" spans="1:7" x14ac:dyDescent="0.3">
      <c r="A753" t="s">
        <v>262</v>
      </c>
      <c r="B753" s="1">
        <v>200</v>
      </c>
      <c r="D753" s="9" t="s">
        <v>263</v>
      </c>
      <c r="E753" s="8" t="s">
        <v>264</v>
      </c>
      <c r="F753" s="9">
        <v>200</v>
      </c>
      <c r="G753" s="31">
        <v>5</v>
      </c>
    </row>
    <row r="754" spans="1:7" x14ac:dyDescent="0.3">
      <c r="A754" t="s">
        <v>857</v>
      </c>
      <c r="B754" s="1">
        <v>40</v>
      </c>
      <c r="D754" s="9" t="s">
        <v>382</v>
      </c>
      <c r="E754" s="8" t="s">
        <v>857</v>
      </c>
      <c r="F754" s="9">
        <v>40</v>
      </c>
      <c r="G754" s="31">
        <v>365</v>
      </c>
    </row>
    <row r="755" spans="1:7" x14ac:dyDescent="0.3">
      <c r="A755" t="s">
        <v>139</v>
      </c>
      <c r="B755" s="1">
        <v>5</v>
      </c>
      <c r="D755" s="9" t="s">
        <v>140</v>
      </c>
      <c r="E755" s="8" t="s">
        <v>141</v>
      </c>
      <c r="F755" s="9">
        <v>5</v>
      </c>
      <c r="G755" s="31">
        <v>387</v>
      </c>
    </row>
    <row r="756" spans="1:7" x14ac:dyDescent="0.3">
      <c r="A756" s="3" t="s">
        <v>10</v>
      </c>
      <c r="B756" s="1">
        <v>245</v>
      </c>
      <c r="E756" s="10" t="s">
        <v>11</v>
      </c>
      <c r="F756" s="12">
        <f>SUM(F753:F755)</f>
        <v>245</v>
      </c>
      <c r="G756" s="84">
        <f>(G753*$F753+G754*$F754+G755*$F755)/$F756</f>
        <v>71.571428571428569</v>
      </c>
    </row>
    <row r="757" spans="1:7" x14ac:dyDescent="0.3">
      <c r="A757" s="3" t="s">
        <v>12</v>
      </c>
      <c r="B757" s="1" t="s">
        <v>13</v>
      </c>
      <c r="E757" s="14"/>
      <c r="F757" s="15"/>
      <c r="G757" s="81"/>
    </row>
    <row r="758" spans="1:7" x14ac:dyDescent="0.3">
      <c r="E758" s="17"/>
      <c r="F758" s="1"/>
      <c r="G758" s="79"/>
    </row>
    <row r="759" spans="1:7" x14ac:dyDescent="0.3">
      <c r="E759" s="17"/>
      <c r="F759" s="1"/>
      <c r="G759" s="82"/>
    </row>
    <row r="760" spans="1:7" x14ac:dyDescent="0.3">
      <c r="A760" s="3" t="s">
        <v>669</v>
      </c>
    </row>
    <row r="761" spans="1:7" x14ac:dyDescent="0.3">
      <c r="A761" t="s">
        <v>858</v>
      </c>
      <c r="B761" s="1">
        <v>80</v>
      </c>
      <c r="D761" s="9" t="s">
        <v>670</v>
      </c>
      <c r="E761" s="8" t="s">
        <v>858</v>
      </c>
      <c r="F761" s="9">
        <v>80</v>
      </c>
      <c r="G761" s="31">
        <v>341</v>
      </c>
    </row>
    <row r="762" spans="1:7" x14ac:dyDescent="0.3">
      <c r="A762" t="s">
        <v>44</v>
      </c>
      <c r="B762" s="1">
        <v>10</v>
      </c>
      <c r="D762" s="9" t="s">
        <v>45</v>
      </c>
      <c r="E762" s="8" t="s">
        <v>46</v>
      </c>
      <c r="F762" s="9">
        <v>10</v>
      </c>
      <c r="G762" s="31">
        <v>899</v>
      </c>
    </row>
    <row r="763" spans="1:7" x14ac:dyDescent="0.3">
      <c r="A763" t="s">
        <v>24</v>
      </c>
      <c r="B763" s="1">
        <v>0.3</v>
      </c>
      <c r="D763" s="9" t="s">
        <v>25</v>
      </c>
      <c r="E763" s="8" t="s">
        <v>26</v>
      </c>
      <c r="F763" s="9">
        <v>0.3</v>
      </c>
      <c r="G763" s="31">
        <v>0</v>
      </c>
    </row>
    <row r="764" spans="1:7" x14ac:dyDescent="0.3">
      <c r="A764" s="3" t="s">
        <v>10</v>
      </c>
      <c r="B764" s="1">
        <v>90.3</v>
      </c>
      <c r="E764" s="10" t="s">
        <v>11</v>
      </c>
      <c r="F764" s="12">
        <f>SUM(F761:F763)</f>
        <v>90.3</v>
      </c>
      <c r="G764" s="84">
        <f>(G761*$F761+G762*$F762+G763*$F763)/$F764</f>
        <v>401.66112956810633</v>
      </c>
    </row>
    <row r="765" spans="1:7" x14ac:dyDescent="0.3">
      <c r="A765" s="3" t="s">
        <v>12</v>
      </c>
      <c r="B765" s="1" t="s">
        <v>13</v>
      </c>
      <c r="E765" s="14"/>
      <c r="F765" s="15"/>
      <c r="G765" s="81"/>
    </row>
    <row r="766" spans="1:7" x14ac:dyDescent="0.3">
      <c r="E766" s="17"/>
      <c r="F766" s="1"/>
      <c r="G766" s="79"/>
    </row>
    <row r="767" spans="1:7" x14ac:dyDescent="0.3">
      <c r="E767" s="17"/>
      <c r="F767" s="1"/>
      <c r="G767" s="82"/>
    </row>
    <row r="768" spans="1:7" x14ac:dyDescent="0.3">
      <c r="A768" s="3" t="s">
        <v>859</v>
      </c>
      <c r="D768" s="32"/>
      <c r="E768" s="32"/>
      <c r="F768" s="32"/>
      <c r="G768" s="31"/>
    </row>
    <row r="769" spans="1:7" x14ac:dyDescent="0.3">
      <c r="A769" t="s">
        <v>860</v>
      </c>
      <c r="B769" s="1">
        <v>80</v>
      </c>
      <c r="D769" s="65" t="s">
        <v>671</v>
      </c>
      <c r="E769" s="8" t="s">
        <v>860</v>
      </c>
      <c r="F769" s="9">
        <v>80</v>
      </c>
      <c r="G769" s="17">
        <v>355</v>
      </c>
    </row>
    <row r="770" spans="1:7" x14ac:dyDescent="0.3">
      <c r="A770" t="s">
        <v>44</v>
      </c>
      <c r="B770" s="1">
        <v>10</v>
      </c>
      <c r="D770" s="9" t="s">
        <v>45</v>
      </c>
      <c r="E770" s="8" t="s">
        <v>46</v>
      </c>
      <c r="F770" s="9">
        <v>10</v>
      </c>
      <c r="G770" s="31">
        <v>899</v>
      </c>
    </row>
    <row r="771" spans="1:7" x14ac:dyDescent="0.3">
      <c r="A771" t="s">
        <v>24</v>
      </c>
      <c r="B771" s="1">
        <v>0.3</v>
      </c>
      <c r="D771" s="9" t="s">
        <v>25</v>
      </c>
      <c r="E771" s="8" t="s">
        <v>26</v>
      </c>
      <c r="F771" s="9">
        <v>0.3</v>
      </c>
      <c r="G771" s="31">
        <v>0</v>
      </c>
    </row>
    <row r="772" spans="1:7" x14ac:dyDescent="0.3">
      <c r="A772" s="3" t="s">
        <v>10</v>
      </c>
      <c r="B772" s="1">
        <v>90.3</v>
      </c>
      <c r="E772" s="10" t="s">
        <v>11</v>
      </c>
      <c r="F772" s="12">
        <f>SUM(F769:F771)</f>
        <v>90.3</v>
      </c>
      <c r="G772" s="84">
        <f>(G769*$F769+G770*$F770+G771*$F771)/$F772</f>
        <v>414.0642303433001</v>
      </c>
    </row>
    <row r="773" spans="1:7" x14ac:dyDescent="0.3">
      <c r="A773" s="3" t="s">
        <v>12</v>
      </c>
      <c r="B773" s="1" t="s">
        <v>13</v>
      </c>
      <c r="E773" s="14"/>
      <c r="F773" s="15"/>
      <c r="G773" s="81"/>
    </row>
    <row r="774" spans="1:7" x14ac:dyDescent="0.3">
      <c r="E774" s="17"/>
      <c r="F774" s="1"/>
      <c r="G774" s="79"/>
    </row>
    <row r="775" spans="1:7" x14ac:dyDescent="0.3">
      <c r="E775" s="17"/>
      <c r="F775" s="1"/>
      <c r="G775" s="82"/>
    </row>
    <row r="776" spans="1:7" x14ac:dyDescent="0.3">
      <c r="A776" s="3" t="s">
        <v>862</v>
      </c>
    </row>
    <row r="777" spans="1:7" x14ac:dyDescent="0.3">
      <c r="A777" t="s">
        <v>857</v>
      </c>
      <c r="B777" s="1">
        <v>25</v>
      </c>
      <c r="D777" s="9" t="s">
        <v>382</v>
      </c>
      <c r="E777" s="8" t="s">
        <v>857</v>
      </c>
      <c r="F777" s="9">
        <v>25</v>
      </c>
      <c r="G777" s="31">
        <v>365</v>
      </c>
    </row>
    <row r="778" spans="1:7" x14ac:dyDescent="0.3">
      <c r="A778" t="s">
        <v>861</v>
      </c>
      <c r="B778" s="1">
        <v>25</v>
      </c>
      <c r="D778" s="9" t="s">
        <v>380</v>
      </c>
      <c r="E778" s="8" t="s">
        <v>861</v>
      </c>
      <c r="F778" s="9">
        <v>25</v>
      </c>
      <c r="G778" s="31">
        <v>337</v>
      </c>
    </row>
    <row r="779" spans="1:7" x14ac:dyDescent="0.3">
      <c r="A779" t="s">
        <v>863</v>
      </c>
      <c r="B779" s="1">
        <v>30</v>
      </c>
      <c r="D779" s="65" t="s">
        <v>298</v>
      </c>
      <c r="E779" s="8" t="s">
        <v>863</v>
      </c>
      <c r="F779" s="9">
        <v>30</v>
      </c>
      <c r="G779" s="17">
        <v>353</v>
      </c>
    </row>
    <row r="780" spans="1:7" x14ac:dyDescent="0.3">
      <c r="A780" t="s">
        <v>44</v>
      </c>
      <c r="B780" s="1">
        <v>10</v>
      </c>
      <c r="D780" s="9" t="s">
        <v>45</v>
      </c>
      <c r="E780" s="8" t="s">
        <v>46</v>
      </c>
      <c r="F780" s="9">
        <v>10</v>
      </c>
      <c r="G780" s="31">
        <v>899</v>
      </c>
    </row>
    <row r="781" spans="1:7" x14ac:dyDescent="0.3">
      <c r="A781" t="s">
        <v>24</v>
      </c>
      <c r="B781" s="1">
        <v>0.3</v>
      </c>
      <c r="D781" s="9" t="s">
        <v>25</v>
      </c>
      <c r="E781" s="8" t="s">
        <v>26</v>
      </c>
      <c r="F781" s="9">
        <v>0.3</v>
      </c>
      <c r="G781" s="31">
        <v>0</v>
      </c>
    </row>
    <row r="782" spans="1:7" x14ac:dyDescent="0.3">
      <c r="A782" s="3" t="s">
        <v>10</v>
      </c>
      <c r="B782" s="1">
        <v>90.3</v>
      </c>
      <c r="E782" s="10" t="s">
        <v>11</v>
      </c>
      <c r="F782" s="12">
        <f>SUM(F777:F781)</f>
        <v>90.3</v>
      </c>
      <c r="G782" s="84">
        <f>(G777*$F777+G778*$F778+G779*$F779+G780*$F780+G781*$F781)/$F782</f>
        <v>411.18493909191585</v>
      </c>
    </row>
    <row r="783" spans="1:7" x14ac:dyDescent="0.3">
      <c r="A783" s="3" t="s">
        <v>12</v>
      </c>
      <c r="B783" s="1" t="s">
        <v>13</v>
      </c>
      <c r="E783" s="14"/>
      <c r="F783" s="15"/>
      <c r="G783" s="81"/>
    </row>
    <row r="784" spans="1:7" x14ac:dyDescent="0.3">
      <c r="E784" s="17"/>
      <c r="F784" s="1"/>
      <c r="G784" s="79"/>
    </row>
    <row r="785" spans="1:7" x14ac:dyDescent="0.3">
      <c r="E785" s="17"/>
      <c r="F785" s="1"/>
      <c r="G785" s="82"/>
    </row>
    <row r="786" spans="1:7" x14ac:dyDescent="0.3">
      <c r="A786" s="3" t="s">
        <v>672</v>
      </c>
    </row>
    <row r="787" spans="1:7" x14ac:dyDescent="0.3">
      <c r="A787" t="s">
        <v>381</v>
      </c>
      <c r="B787" s="1">
        <v>80</v>
      </c>
      <c r="D787" s="9" t="s">
        <v>382</v>
      </c>
      <c r="E787" s="8" t="s">
        <v>857</v>
      </c>
      <c r="F787" s="9">
        <v>80</v>
      </c>
      <c r="G787" s="31">
        <v>334</v>
      </c>
    </row>
    <row r="788" spans="1:7" x14ac:dyDescent="0.3">
      <c r="A788" t="s">
        <v>397</v>
      </c>
      <c r="B788" s="1">
        <v>25</v>
      </c>
      <c r="D788" s="9" t="s">
        <v>398</v>
      </c>
      <c r="E788" s="8" t="s">
        <v>399</v>
      </c>
      <c r="F788" s="9">
        <v>25</v>
      </c>
      <c r="G788" s="31">
        <v>84</v>
      </c>
    </row>
    <row r="789" spans="1:7" x14ac:dyDescent="0.3">
      <c r="A789" t="s">
        <v>400</v>
      </c>
      <c r="B789" s="1">
        <v>25</v>
      </c>
      <c r="D789" s="9" t="s">
        <v>401</v>
      </c>
      <c r="E789" s="8" t="s">
        <v>402</v>
      </c>
      <c r="F789" s="9">
        <v>25</v>
      </c>
      <c r="G789" s="31">
        <v>72</v>
      </c>
    </row>
    <row r="790" spans="1:7" x14ac:dyDescent="0.3">
      <c r="A790" t="s">
        <v>550</v>
      </c>
      <c r="B790" s="1">
        <v>25</v>
      </c>
      <c r="D790" s="9" t="s">
        <v>388</v>
      </c>
      <c r="E790" s="8" t="s">
        <v>389</v>
      </c>
      <c r="F790" s="9">
        <v>25</v>
      </c>
      <c r="G790" s="31">
        <v>71</v>
      </c>
    </row>
    <row r="791" spans="1:7" x14ac:dyDescent="0.3">
      <c r="A791" t="s">
        <v>126</v>
      </c>
      <c r="B791" s="1">
        <v>15</v>
      </c>
      <c r="D791" s="9" t="s">
        <v>127</v>
      </c>
      <c r="E791" s="8" t="s">
        <v>128</v>
      </c>
      <c r="F791" s="9">
        <v>15</v>
      </c>
      <c r="G791" s="31">
        <v>28</v>
      </c>
    </row>
    <row r="792" spans="1:7" x14ac:dyDescent="0.3">
      <c r="A792" t="s">
        <v>88</v>
      </c>
      <c r="B792" s="1">
        <v>3</v>
      </c>
      <c r="D792" s="9" t="s">
        <v>89</v>
      </c>
      <c r="E792" s="8" t="s">
        <v>90</v>
      </c>
      <c r="F792" s="9">
        <v>3</v>
      </c>
      <c r="G792" s="31">
        <v>45</v>
      </c>
    </row>
    <row r="793" spans="1:7" x14ac:dyDescent="0.3">
      <c r="A793" t="s">
        <v>44</v>
      </c>
      <c r="B793" s="1">
        <v>10</v>
      </c>
      <c r="D793" s="9" t="s">
        <v>45</v>
      </c>
      <c r="E793" s="8" t="s">
        <v>46</v>
      </c>
      <c r="F793" s="9">
        <v>10</v>
      </c>
      <c r="G793" s="31">
        <v>899</v>
      </c>
    </row>
    <row r="794" spans="1:7" x14ac:dyDescent="0.3">
      <c r="A794" t="s">
        <v>105</v>
      </c>
      <c r="B794" s="1">
        <v>3</v>
      </c>
      <c r="D794" s="9" t="s">
        <v>106</v>
      </c>
      <c r="E794" s="8" t="s">
        <v>107</v>
      </c>
      <c r="F794" s="9">
        <v>3</v>
      </c>
      <c r="G794" s="31">
        <v>30</v>
      </c>
    </row>
    <row r="795" spans="1:7" x14ac:dyDescent="0.3">
      <c r="A795" t="s">
        <v>71</v>
      </c>
      <c r="B795" s="1">
        <v>0.1</v>
      </c>
      <c r="D795" s="9" t="s">
        <v>72</v>
      </c>
      <c r="E795" s="8" t="s">
        <v>73</v>
      </c>
      <c r="F795" s="9">
        <v>0.1</v>
      </c>
      <c r="G795" s="31">
        <v>270</v>
      </c>
    </row>
    <row r="796" spans="1:7" x14ac:dyDescent="0.3">
      <c r="A796" t="s">
        <v>41</v>
      </c>
      <c r="B796" s="1">
        <v>250</v>
      </c>
      <c r="D796" s="9" t="s">
        <v>42</v>
      </c>
      <c r="E796" s="8" t="s">
        <v>43</v>
      </c>
      <c r="F796" s="9">
        <v>250</v>
      </c>
      <c r="G796" s="31">
        <v>6</v>
      </c>
    </row>
    <row r="797" spans="1:7" x14ac:dyDescent="0.3">
      <c r="A797" s="3" t="s">
        <v>10</v>
      </c>
      <c r="B797" s="1">
        <v>436.1</v>
      </c>
      <c r="E797" s="10" t="s">
        <v>11</v>
      </c>
      <c r="F797" s="12">
        <f>SUM(F787:F796)</f>
        <v>436.1</v>
      </c>
      <c r="G797" s="84">
        <f>(G792*$F792+G793*$F793+G794*$F794+G795*$F795+G796*$F796+$F790*G790+$F791*G791+G789*$F789+G788*$F788+G787*$F787)/$F797</f>
        <v>99.878468241229072</v>
      </c>
    </row>
    <row r="798" spans="1:7" x14ac:dyDescent="0.3">
      <c r="A798" s="3" t="s">
        <v>12</v>
      </c>
      <c r="B798" s="1" t="s">
        <v>13</v>
      </c>
      <c r="E798" s="14"/>
      <c r="F798" s="15"/>
      <c r="G798" s="81"/>
    </row>
    <row r="799" spans="1:7" x14ac:dyDescent="0.3">
      <c r="E799" s="17"/>
      <c r="F799" s="1"/>
      <c r="G799" s="79"/>
    </row>
    <row r="800" spans="1:7" x14ac:dyDescent="0.3">
      <c r="E800" s="17"/>
      <c r="F800" s="1"/>
      <c r="G800" s="82"/>
    </row>
    <row r="801" spans="1:7" x14ac:dyDescent="0.3">
      <c r="A801" s="3" t="s">
        <v>673</v>
      </c>
    </row>
    <row r="802" spans="1:7" x14ac:dyDescent="0.3">
      <c r="A802" t="s">
        <v>381</v>
      </c>
      <c r="B802" s="1">
        <v>80</v>
      </c>
      <c r="D802" s="9" t="s">
        <v>382</v>
      </c>
      <c r="E802" s="8" t="s">
        <v>857</v>
      </c>
      <c r="F802" s="9">
        <v>80</v>
      </c>
      <c r="G802" s="31">
        <v>334</v>
      </c>
    </row>
    <row r="803" spans="1:7" x14ac:dyDescent="0.3">
      <c r="A803" t="s">
        <v>864</v>
      </c>
      <c r="B803" s="1">
        <v>120</v>
      </c>
      <c r="D803" s="9" t="s">
        <v>335</v>
      </c>
      <c r="E803" s="8" t="s">
        <v>864</v>
      </c>
      <c r="F803" s="9">
        <v>120</v>
      </c>
      <c r="G803" s="31">
        <v>32</v>
      </c>
    </row>
    <row r="804" spans="1:7" x14ac:dyDescent="0.3">
      <c r="A804" t="s">
        <v>262</v>
      </c>
      <c r="B804" s="1">
        <v>250</v>
      </c>
      <c r="D804" s="9" t="s">
        <v>263</v>
      </c>
      <c r="E804" s="8" t="s">
        <v>264</v>
      </c>
      <c r="F804" s="9">
        <v>250</v>
      </c>
      <c r="G804" s="31">
        <v>5</v>
      </c>
    </row>
    <row r="805" spans="1:7" x14ac:dyDescent="0.3">
      <c r="A805" t="s">
        <v>126</v>
      </c>
      <c r="B805" s="1">
        <v>15</v>
      </c>
      <c r="D805" s="9" t="s">
        <v>127</v>
      </c>
      <c r="E805" s="8" t="s">
        <v>128</v>
      </c>
      <c r="F805" s="9">
        <v>15</v>
      </c>
      <c r="G805" s="31">
        <v>28</v>
      </c>
    </row>
    <row r="806" spans="1:7" x14ac:dyDescent="0.3">
      <c r="A806" t="s">
        <v>139</v>
      </c>
      <c r="B806" s="1">
        <v>5</v>
      </c>
      <c r="D806" s="9" t="s">
        <v>140</v>
      </c>
      <c r="E806" s="8" t="s">
        <v>141</v>
      </c>
      <c r="F806" s="9">
        <v>5</v>
      </c>
      <c r="G806" s="31">
        <v>387</v>
      </c>
    </row>
    <row r="807" spans="1:7" x14ac:dyDescent="0.3">
      <c r="A807" t="s">
        <v>63</v>
      </c>
      <c r="B807" s="1">
        <v>15</v>
      </c>
      <c r="D807" s="9" t="s">
        <v>64</v>
      </c>
      <c r="E807" s="8" t="s">
        <v>65</v>
      </c>
      <c r="F807" s="9">
        <v>15</v>
      </c>
      <c r="G807" s="31">
        <v>758</v>
      </c>
    </row>
    <row r="808" spans="1:7" x14ac:dyDescent="0.3">
      <c r="A808" s="3" t="s">
        <v>10</v>
      </c>
      <c r="B808" s="1">
        <v>485</v>
      </c>
      <c r="E808" s="10" t="s">
        <v>11</v>
      </c>
      <c r="F808" s="12">
        <f>SUM(F802:F807)</f>
        <v>485</v>
      </c>
      <c r="G808" s="84">
        <f>(G803*$F803+G804*$F804+G805*$F805+G806*$F806+G807*$F807+$F802*G802)/$F808</f>
        <v>93.886597938144334</v>
      </c>
    </row>
    <row r="809" spans="1:7" x14ac:dyDescent="0.3">
      <c r="A809" s="3" t="s">
        <v>12</v>
      </c>
      <c r="B809" s="1" t="s">
        <v>13</v>
      </c>
      <c r="E809" s="14"/>
      <c r="F809" s="15"/>
      <c r="G809" s="81"/>
    </row>
    <row r="810" spans="1:7" x14ac:dyDescent="0.3">
      <c r="E810" s="17"/>
      <c r="F810" s="1"/>
      <c r="G810" s="79"/>
    </row>
    <row r="811" spans="1:7" x14ac:dyDescent="0.3">
      <c r="E811" s="17"/>
      <c r="F811" s="1"/>
      <c r="G811" s="82"/>
    </row>
    <row r="812" spans="1:7" x14ac:dyDescent="0.3">
      <c r="A812" s="3" t="s">
        <v>674</v>
      </c>
    </row>
    <row r="813" spans="1:7" x14ac:dyDescent="0.3">
      <c r="A813" t="s">
        <v>381</v>
      </c>
      <c r="B813" s="1">
        <v>80</v>
      </c>
      <c r="D813" s="9" t="s">
        <v>382</v>
      </c>
      <c r="E813" s="8" t="s">
        <v>857</v>
      </c>
      <c r="F813" s="9">
        <v>80</v>
      </c>
      <c r="G813" s="31">
        <v>334</v>
      </c>
    </row>
    <row r="814" spans="1:7" x14ac:dyDescent="0.3">
      <c r="A814" t="s">
        <v>262</v>
      </c>
      <c r="B814" s="1">
        <v>250</v>
      </c>
      <c r="D814" s="9" t="s">
        <v>263</v>
      </c>
      <c r="E814" s="8" t="s">
        <v>264</v>
      </c>
      <c r="F814" s="9">
        <v>250</v>
      </c>
      <c r="G814" s="31">
        <v>5</v>
      </c>
    </row>
    <row r="815" spans="1:7" x14ac:dyDescent="0.3">
      <c r="A815" t="s">
        <v>418</v>
      </c>
      <c r="B815" s="1">
        <v>120</v>
      </c>
      <c r="D815" s="9" t="s">
        <v>419</v>
      </c>
      <c r="E815" s="8" t="s">
        <v>420</v>
      </c>
      <c r="F815" s="9">
        <v>120</v>
      </c>
      <c r="G815" s="31">
        <v>18</v>
      </c>
    </row>
    <row r="816" spans="1:7" x14ac:dyDescent="0.3">
      <c r="A816" t="s">
        <v>126</v>
      </c>
      <c r="B816" s="1">
        <v>15</v>
      </c>
      <c r="D816" s="9" t="s">
        <v>127</v>
      </c>
      <c r="E816" s="8" t="s">
        <v>128</v>
      </c>
      <c r="F816" s="9">
        <v>15</v>
      </c>
      <c r="G816" s="31">
        <v>28</v>
      </c>
    </row>
    <row r="817" spans="1:7" x14ac:dyDescent="0.3">
      <c r="A817" t="s">
        <v>139</v>
      </c>
      <c r="B817" s="1">
        <v>5</v>
      </c>
      <c r="D817" s="9" t="s">
        <v>140</v>
      </c>
      <c r="E817" s="8" t="s">
        <v>141</v>
      </c>
      <c r="F817" s="9">
        <v>5</v>
      </c>
      <c r="G817" s="31">
        <v>387</v>
      </c>
    </row>
    <row r="818" spans="1:7" x14ac:dyDescent="0.3">
      <c r="A818" t="s">
        <v>63</v>
      </c>
      <c r="B818" s="1">
        <v>15</v>
      </c>
      <c r="D818" s="9" t="s">
        <v>64</v>
      </c>
      <c r="E818" s="8" t="s">
        <v>65</v>
      </c>
      <c r="F818" s="9">
        <v>15</v>
      </c>
      <c r="G818" s="31">
        <v>758</v>
      </c>
    </row>
    <row r="819" spans="1:7" x14ac:dyDescent="0.3">
      <c r="A819" s="3" t="s">
        <v>10</v>
      </c>
      <c r="B819" s="1">
        <v>485</v>
      </c>
      <c r="E819" s="10" t="s">
        <v>11</v>
      </c>
      <c r="F819" s="12">
        <f>SUM(F813:F818)</f>
        <v>485</v>
      </c>
      <c r="G819" s="84">
        <f>(G814*$F814+G815*$F815+G816*$F816+G817*$F817+G818*$F818+G813*$F813)/$F819</f>
        <v>90.422680412371136</v>
      </c>
    </row>
    <row r="820" spans="1:7" x14ac:dyDescent="0.3">
      <c r="A820" s="3" t="s">
        <v>12</v>
      </c>
      <c r="B820" s="1" t="s">
        <v>13</v>
      </c>
      <c r="E820" s="14"/>
      <c r="F820" s="15"/>
      <c r="G820" s="81"/>
    </row>
    <row r="821" spans="1:7" x14ac:dyDescent="0.3">
      <c r="E821" s="17"/>
      <c r="F821" s="1"/>
      <c r="G821" s="79"/>
    </row>
    <row r="822" spans="1:7" x14ac:dyDescent="0.3">
      <c r="E822" s="17"/>
      <c r="F822" s="1"/>
      <c r="G822" s="82"/>
    </row>
    <row r="823" spans="1:7" x14ac:dyDescent="0.3">
      <c r="A823" s="3" t="s">
        <v>675</v>
      </c>
    </row>
    <row r="824" spans="1:7" x14ac:dyDescent="0.3">
      <c r="A824" t="s">
        <v>381</v>
      </c>
      <c r="B824" s="1">
        <v>80</v>
      </c>
      <c r="D824" s="9" t="s">
        <v>382</v>
      </c>
      <c r="E824" s="8" t="s">
        <v>857</v>
      </c>
      <c r="F824" s="9">
        <v>80</v>
      </c>
      <c r="G824" s="31">
        <v>334</v>
      </c>
    </row>
    <row r="825" spans="1:7" x14ac:dyDescent="0.3">
      <c r="A825" t="s">
        <v>262</v>
      </c>
      <c r="B825" s="1">
        <v>250</v>
      </c>
      <c r="D825" s="9" t="s">
        <v>263</v>
      </c>
      <c r="E825" s="8" t="s">
        <v>264</v>
      </c>
      <c r="F825" s="9">
        <v>250</v>
      </c>
      <c r="G825" s="31">
        <v>5</v>
      </c>
    </row>
    <row r="826" spans="1:7" x14ac:dyDescent="0.3">
      <c r="A826" t="s">
        <v>126</v>
      </c>
      <c r="B826" s="1">
        <v>25</v>
      </c>
      <c r="D826" s="9" t="s">
        <v>127</v>
      </c>
      <c r="E826" s="8" t="s">
        <v>128</v>
      </c>
      <c r="F826" s="9">
        <v>25</v>
      </c>
      <c r="G826" s="31">
        <v>28</v>
      </c>
    </row>
    <row r="827" spans="1:7" x14ac:dyDescent="0.3">
      <c r="A827" t="s">
        <v>559</v>
      </c>
      <c r="B827" s="1">
        <v>0.15</v>
      </c>
      <c r="D827" s="9" t="s">
        <v>560</v>
      </c>
      <c r="E827" s="8" t="s">
        <v>561</v>
      </c>
      <c r="F827" s="9">
        <v>0.15</v>
      </c>
      <c r="G827" s="31">
        <v>337</v>
      </c>
    </row>
    <row r="828" spans="1:7" x14ac:dyDescent="0.3">
      <c r="A828" t="s">
        <v>63</v>
      </c>
      <c r="B828" s="1">
        <v>15</v>
      </c>
      <c r="D828" s="9" t="s">
        <v>64</v>
      </c>
      <c r="E828" s="8" t="s">
        <v>65</v>
      </c>
      <c r="F828" s="9">
        <v>15</v>
      </c>
      <c r="G828" s="31">
        <v>758</v>
      </c>
    </row>
    <row r="829" spans="1:7" x14ac:dyDescent="0.3">
      <c r="A829" t="s">
        <v>449</v>
      </c>
      <c r="B829" s="1">
        <v>20</v>
      </c>
      <c r="D829" s="9" t="s">
        <v>140</v>
      </c>
      <c r="E829" s="8" t="s">
        <v>141</v>
      </c>
      <c r="F829" s="9">
        <v>20</v>
      </c>
      <c r="G829" s="31">
        <v>387</v>
      </c>
    </row>
    <row r="830" spans="1:7" x14ac:dyDescent="0.3">
      <c r="A830" s="3" t="s">
        <v>10</v>
      </c>
      <c r="B830" s="1">
        <v>390.15</v>
      </c>
      <c r="E830" s="10" t="s">
        <v>11</v>
      </c>
      <c r="F830" s="12">
        <f>SUM(F824:F829)</f>
        <v>390.15</v>
      </c>
      <c r="G830" s="84">
        <f>(G825*$F825+G826*$F826+G827*$F827+G828*$F828+G829*$F829+G824*$F824)/$F830</f>
        <v>122.59528386518008</v>
      </c>
    </row>
    <row r="831" spans="1:7" x14ac:dyDescent="0.3">
      <c r="A831" s="3" t="s">
        <v>12</v>
      </c>
      <c r="B831" s="1" t="s">
        <v>13</v>
      </c>
      <c r="E831" s="14"/>
      <c r="F831" s="15"/>
      <c r="G831" s="81"/>
    </row>
    <row r="832" spans="1:7" x14ac:dyDescent="0.3">
      <c r="E832" s="17"/>
      <c r="F832" s="1"/>
      <c r="G832" s="79"/>
    </row>
    <row r="833" spans="1:7" x14ac:dyDescent="0.3">
      <c r="E833" s="17"/>
      <c r="F833" s="1"/>
      <c r="G833" s="82"/>
    </row>
    <row r="834" spans="1:7" x14ac:dyDescent="0.3">
      <c r="A834" s="3" t="s">
        <v>676</v>
      </c>
    </row>
    <row r="835" spans="1:7" x14ac:dyDescent="0.3">
      <c r="A835" t="s">
        <v>381</v>
      </c>
      <c r="B835" s="1">
        <v>80</v>
      </c>
      <c r="D835" s="9" t="s">
        <v>382</v>
      </c>
      <c r="E835" s="8" t="s">
        <v>857</v>
      </c>
      <c r="F835" s="9">
        <v>80</v>
      </c>
      <c r="G835" s="31">
        <v>334</v>
      </c>
    </row>
    <row r="836" spans="1:7" x14ac:dyDescent="0.3">
      <c r="A836" t="s">
        <v>262</v>
      </c>
      <c r="B836" s="1">
        <v>250</v>
      </c>
      <c r="D836" s="9" t="s">
        <v>263</v>
      </c>
      <c r="E836" s="8" t="s">
        <v>264</v>
      </c>
      <c r="F836" s="9">
        <v>250</v>
      </c>
      <c r="G836" s="31">
        <v>5</v>
      </c>
    </row>
    <row r="837" spans="1:7" x14ac:dyDescent="0.3">
      <c r="A837" t="s">
        <v>126</v>
      </c>
      <c r="B837" s="1">
        <v>15</v>
      </c>
      <c r="D837" s="9" t="s">
        <v>127</v>
      </c>
      <c r="E837" s="8" t="s">
        <v>128</v>
      </c>
      <c r="F837" s="9">
        <v>15</v>
      </c>
      <c r="G837" s="31">
        <v>28</v>
      </c>
    </row>
    <row r="838" spans="1:7" x14ac:dyDescent="0.3">
      <c r="A838" t="s">
        <v>63</v>
      </c>
      <c r="B838" s="1">
        <v>15</v>
      </c>
      <c r="D838" s="9" t="s">
        <v>64</v>
      </c>
      <c r="E838" s="8" t="s">
        <v>65</v>
      </c>
      <c r="F838" s="9">
        <v>15</v>
      </c>
      <c r="G838" s="31">
        <v>758</v>
      </c>
    </row>
    <row r="839" spans="1:7" x14ac:dyDescent="0.3">
      <c r="A839" t="s">
        <v>449</v>
      </c>
      <c r="B839" s="1">
        <v>20</v>
      </c>
      <c r="D839" s="9" t="s">
        <v>140</v>
      </c>
      <c r="E839" s="8" t="s">
        <v>141</v>
      </c>
      <c r="F839" s="9">
        <v>20</v>
      </c>
      <c r="G839" s="31">
        <v>387</v>
      </c>
    </row>
    <row r="840" spans="1:7" x14ac:dyDescent="0.3">
      <c r="A840" s="3" t="s">
        <v>10</v>
      </c>
      <c r="B840" s="1">
        <v>380</v>
      </c>
      <c r="E840" s="10" t="s">
        <v>11</v>
      </c>
      <c r="F840" s="12">
        <f>SUM(F835:F839)</f>
        <v>380</v>
      </c>
      <c r="G840" s="84">
        <f>(G835*$F835+G836*$F836+G837*$F837+G838*$F838+G839*$F839)/$F840</f>
        <v>125</v>
      </c>
    </row>
    <row r="841" spans="1:7" x14ac:dyDescent="0.3">
      <c r="A841" s="3" t="s">
        <v>12</v>
      </c>
      <c r="B841" s="1" t="s">
        <v>13</v>
      </c>
      <c r="E841" s="14"/>
      <c r="F841" s="15"/>
      <c r="G841" s="86"/>
    </row>
    <row r="842" spans="1:7" x14ac:dyDescent="0.3">
      <c r="E842" s="17"/>
      <c r="F842" s="1"/>
      <c r="G842" s="79"/>
    </row>
    <row r="843" spans="1:7" x14ac:dyDescent="0.3">
      <c r="E843" s="17"/>
      <c r="F843" s="1"/>
      <c r="G843" s="82"/>
    </row>
    <row r="844" spans="1:7" x14ac:dyDescent="0.3">
      <c r="A844" s="3" t="s">
        <v>677</v>
      </c>
    </row>
    <row r="845" spans="1:7" x14ac:dyDescent="0.3">
      <c r="A845" t="s">
        <v>82</v>
      </c>
      <c r="B845" s="1">
        <v>100</v>
      </c>
      <c r="D845" s="9" t="s">
        <v>83</v>
      </c>
      <c r="E845" s="8" t="s">
        <v>84</v>
      </c>
      <c r="F845" s="9">
        <v>100</v>
      </c>
      <c r="G845" s="31">
        <v>108</v>
      </c>
    </row>
    <row r="846" spans="1:7" x14ac:dyDescent="0.3">
      <c r="A846" t="s">
        <v>139</v>
      </c>
      <c r="B846" s="1">
        <v>7</v>
      </c>
      <c r="D846" s="9" t="s">
        <v>140</v>
      </c>
      <c r="E846" s="8" t="s">
        <v>141</v>
      </c>
      <c r="F846" s="9">
        <v>7</v>
      </c>
      <c r="G846" s="31">
        <v>387</v>
      </c>
    </row>
    <row r="847" spans="1:7" x14ac:dyDescent="0.3">
      <c r="A847" t="s">
        <v>188</v>
      </c>
      <c r="B847" s="1">
        <v>10</v>
      </c>
      <c r="D847" s="9" t="s">
        <v>189</v>
      </c>
      <c r="E847" s="8" t="s">
        <v>190</v>
      </c>
      <c r="F847" s="9">
        <v>10</v>
      </c>
      <c r="G847" s="31">
        <v>900</v>
      </c>
    </row>
    <row r="848" spans="1:7" x14ac:dyDescent="0.3">
      <c r="A848" t="s">
        <v>142</v>
      </c>
      <c r="B848" s="1">
        <v>15</v>
      </c>
      <c r="D848" s="9" t="s">
        <v>143</v>
      </c>
      <c r="E848" s="8" t="s">
        <v>144</v>
      </c>
      <c r="F848" s="9">
        <v>15</v>
      </c>
      <c r="G848" s="31">
        <v>28</v>
      </c>
    </row>
    <row r="849" spans="1:7" x14ac:dyDescent="0.3">
      <c r="A849" t="s">
        <v>24</v>
      </c>
      <c r="B849" s="1">
        <v>0.3</v>
      </c>
      <c r="D849" s="9" t="s">
        <v>25</v>
      </c>
      <c r="E849" s="8" t="s">
        <v>26</v>
      </c>
      <c r="F849" s="9">
        <v>0.3</v>
      </c>
      <c r="G849" s="31">
        <v>0</v>
      </c>
    </row>
    <row r="850" spans="1:7" x14ac:dyDescent="0.3">
      <c r="A850" s="3" t="s">
        <v>10</v>
      </c>
      <c r="B850" s="1">
        <v>132.30000000000001</v>
      </c>
      <c r="E850" s="10" t="s">
        <v>11</v>
      </c>
      <c r="F850" s="12">
        <f>SUM(F845:F849)</f>
        <v>132.30000000000001</v>
      </c>
      <c r="G850" s="84">
        <f>(G845*$F845+G846*$F846+G847*$F847+G848*$F848+G849*$F849)/$F850</f>
        <v>173.31065759637187</v>
      </c>
    </row>
    <row r="851" spans="1:7" x14ac:dyDescent="0.3">
      <c r="A851" s="3" t="s">
        <v>12</v>
      </c>
      <c r="B851" s="1" t="s">
        <v>13</v>
      </c>
      <c r="E851" s="14"/>
      <c r="F851" s="15"/>
      <c r="G851" s="81"/>
    </row>
    <row r="852" spans="1:7" x14ac:dyDescent="0.3">
      <c r="E852" s="17"/>
      <c r="F852" s="1"/>
      <c r="G852" s="79"/>
    </row>
    <row r="853" spans="1:7" x14ac:dyDescent="0.3">
      <c r="E853" s="17"/>
      <c r="F853" s="1"/>
      <c r="G853" s="82"/>
    </row>
    <row r="854" spans="1:7" x14ac:dyDescent="0.3">
      <c r="A854" s="3" t="s">
        <v>678</v>
      </c>
    </row>
    <row r="855" spans="1:7" x14ac:dyDescent="0.3">
      <c r="A855" t="s">
        <v>82</v>
      </c>
      <c r="B855" s="1">
        <v>100</v>
      </c>
      <c r="D855" s="9" t="s">
        <v>83</v>
      </c>
      <c r="E855" s="8" t="s">
        <v>84</v>
      </c>
      <c r="F855" s="9">
        <v>100</v>
      </c>
      <c r="G855" s="31">
        <v>108</v>
      </c>
    </row>
    <row r="856" spans="1:7" x14ac:dyDescent="0.3">
      <c r="A856" t="s">
        <v>24</v>
      </c>
      <c r="B856" s="1">
        <v>0.3</v>
      </c>
      <c r="D856" s="9" t="s">
        <v>25</v>
      </c>
      <c r="E856" s="8" t="s">
        <v>26</v>
      </c>
      <c r="F856" s="9">
        <v>0.3</v>
      </c>
      <c r="G856" s="31">
        <v>0</v>
      </c>
    </row>
    <row r="857" spans="1:7" x14ac:dyDescent="0.3">
      <c r="A857" s="3" t="s">
        <v>10</v>
      </c>
      <c r="B857" s="1">
        <v>100.3</v>
      </c>
      <c r="E857" s="10" t="s">
        <v>11</v>
      </c>
      <c r="F857" s="12">
        <f>SUM(F855:F856)</f>
        <v>100.3</v>
      </c>
      <c r="G857" s="84">
        <f>(G855*$F855+G856*$F856)/$F857</f>
        <v>107.67696909272183</v>
      </c>
    </row>
    <row r="858" spans="1:7" x14ac:dyDescent="0.3">
      <c r="A858" s="3" t="s">
        <v>12</v>
      </c>
      <c r="B858" s="1" t="s">
        <v>13</v>
      </c>
      <c r="E858" s="14"/>
      <c r="F858" s="15"/>
      <c r="G858" s="81"/>
    </row>
    <row r="859" spans="1:7" x14ac:dyDescent="0.3">
      <c r="E859" s="17"/>
      <c r="F859" s="1"/>
      <c r="G859" s="79"/>
    </row>
    <row r="860" spans="1:7" x14ac:dyDescent="0.3">
      <c r="E860" s="17"/>
      <c r="F860" s="1"/>
      <c r="G860" s="82"/>
    </row>
    <row r="861" spans="1:7" x14ac:dyDescent="0.3">
      <c r="A861" s="3" t="s">
        <v>679</v>
      </c>
    </row>
    <row r="862" spans="1:7" x14ac:dyDescent="0.3">
      <c r="A862" t="s">
        <v>680</v>
      </c>
      <c r="B862" s="1">
        <v>150</v>
      </c>
      <c r="D862" s="9" t="s">
        <v>681</v>
      </c>
      <c r="E862" s="8" t="s">
        <v>682</v>
      </c>
      <c r="F862" s="9">
        <v>150</v>
      </c>
      <c r="G862" s="31">
        <v>185</v>
      </c>
    </row>
    <row r="863" spans="1:7" x14ac:dyDescent="0.3">
      <c r="A863" t="s">
        <v>24</v>
      </c>
      <c r="B863" s="1">
        <v>0.3</v>
      </c>
      <c r="D863" s="9" t="s">
        <v>25</v>
      </c>
      <c r="E863" s="8" t="s">
        <v>26</v>
      </c>
      <c r="F863" s="9">
        <v>0.3</v>
      </c>
      <c r="G863" s="31">
        <v>0</v>
      </c>
    </row>
    <row r="864" spans="1:7" x14ac:dyDescent="0.3">
      <c r="A864" s="3" t="s">
        <v>10</v>
      </c>
      <c r="B864" s="1">
        <v>150.30000000000001</v>
      </c>
      <c r="E864" s="10" t="s">
        <v>11</v>
      </c>
      <c r="F864" s="12">
        <f>SUM(F862:F863)</f>
        <v>150.30000000000001</v>
      </c>
      <c r="G864" s="84">
        <f>(G862*$F862+G863*$F863)/$F864</f>
        <v>184.63073852295409</v>
      </c>
    </row>
    <row r="865" spans="1:7" x14ac:dyDescent="0.3">
      <c r="A865" s="3" t="s">
        <v>12</v>
      </c>
      <c r="B865" s="1" t="s">
        <v>13</v>
      </c>
      <c r="E865" s="14"/>
      <c r="F865" s="15"/>
      <c r="G865" s="81"/>
    </row>
    <row r="866" spans="1:7" x14ac:dyDescent="0.3">
      <c r="E866" s="17"/>
      <c r="F866" s="1"/>
      <c r="G866" s="79"/>
    </row>
    <row r="867" spans="1:7" x14ac:dyDescent="0.3">
      <c r="E867" s="17"/>
      <c r="F867" s="1"/>
      <c r="G867" s="82"/>
    </row>
    <row r="868" spans="1:7" x14ac:dyDescent="0.3">
      <c r="A868" s="3" t="s">
        <v>683</v>
      </c>
    </row>
    <row r="869" spans="1:7" x14ac:dyDescent="0.3">
      <c r="A869" t="s">
        <v>680</v>
      </c>
      <c r="B869" s="1">
        <v>150</v>
      </c>
      <c r="D869" s="9" t="s">
        <v>681</v>
      </c>
      <c r="E869" s="8" t="s">
        <v>682</v>
      </c>
      <c r="F869" s="9">
        <v>150</v>
      </c>
      <c r="G869" s="31">
        <v>185</v>
      </c>
    </row>
    <row r="870" spans="1:7" x14ac:dyDescent="0.3">
      <c r="A870" t="s">
        <v>24</v>
      </c>
      <c r="B870" s="1">
        <v>0.3</v>
      </c>
      <c r="D870" s="9" t="s">
        <v>25</v>
      </c>
      <c r="E870" s="8" t="s">
        <v>26</v>
      </c>
      <c r="F870" s="9">
        <v>0.3</v>
      </c>
      <c r="G870" s="31">
        <v>0</v>
      </c>
    </row>
    <row r="871" spans="1:7" x14ac:dyDescent="0.3">
      <c r="A871" t="s">
        <v>71</v>
      </c>
      <c r="B871" s="1">
        <v>0.1</v>
      </c>
      <c r="D871" s="9" t="s">
        <v>72</v>
      </c>
      <c r="E871" s="8" t="s">
        <v>73</v>
      </c>
      <c r="F871" s="9">
        <v>0.1</v>
      </c>
      <c r="G871" s="31">
        <v>270</v>
      </c>
    </row>
    <row r="872" spans="1:7" x14ac:dyDescent="0.3">
      <c r="A872" t="s">
        <v>98</v>
      </c>
      <c r="B872" s="1">
        <v>2</v>
      </c>
      <c r="D872" s="9" t="s">
        <v>99</v>
      </c>
      <c r="E872" s="8" t="s">
        <v>100</v>
      </c>
      <c r="F872" s="9">
        <v>2</v>
      </c>
      <c r="G872" s="31">
        <v>88</v>
      </c>
    </row>
    <row r="873" spans="1:7" x14ac:dyDescent="0.3">
      <c r="A873" s="3" t="s">
        <v>10</v>
      </c>
      <c r="B873" s="1">
        <v>152.4</v>
      </c>
      <c r="E873" s="10" t="s">
        <v>11</v>
      </c>
      <c r="F873" s="12">
        <f>SUM(F869:F872)</f>
        <v>152.4</v>
      </c>
      <c r="G873" s="84">
        <f>(G869*$F869+G870*$F870+G871*$F871+G872*$F872)/$F873</f>
        <v>183.41863517060366</v>
      </c>
    </row>
    <row r="874" spans="1:7" x14ac:dyDescent="0.3">
      <c r="A874" s="3" t="s">
        <v>12</v>
      </c>
      <c r="B874" s="1" t="s">
        <v>13</v>
      </c>
      <c r="E874" s="14"/>
      <c r="F874" s="15"/>
      <c r="G874" s="81"/>
    </row>
    <row r="875" spans="1:7" x14ac:dyDescent="0.3">
      <c r="E875" s="17"/>
      <c r="F875" s="1"/>
      <c r="G875" s="79"/>
    </row>
    <row r="876" spans="1:7" x14ac:dyDescent="0.3">
      <c r="E876" s="17"/>
      <c r="F876" s="1"/>
      <c r="G876" s="82"/>
    </row>
    <row r="877" spans="1:7" x14ac:dyDescent="0.3">
      <c r="A877" s="3" t="s">
        <v>684</v>
      </c>
    </row>
    <row r="878" spans="1:7" x14ac:dyDescent="0.3">
      <c r="A878" t="s">
        <v>397</v>
      </c>
      <c r="B878" s="1">
        <v>75</v>
      </c>
      <c r="D878" s="9" t="s">
        <v>398</v>
      </c>
      <c r="E878" s="8" t="s">
        <v>399</v>
      </c>
      <c r="F878" s="9">
        <v>75</v>
      </c>
      <c r="G878" s="31">
        <v>84</v>
      </c>
    </row>
    <row r="879" spans="1:7" x14ac:dyDescent="0.3">
      <c r="A879" t="s">
        <v>400</v>
      </c>
      <c r="B879" s="1">
        <v>75</v>
      </c>
      <c r="D879" s="9" t="s">
        <v>401</v>
      </c>
      <c r="E879" s="8" t="s">
        <v>402</v>
      </c>
      <c r="F879" s="9">
        <v>75</v>
      </c>
      <c r="G879" s="31">
        <v>72</v>
      </c>
    </row>
    <row r="880" spans="1:7" x14ac:dyDescent="0.3">
      <c r="A880" t="s">
        <v>88</v>
      </c>
      <c r="B880" s="1">
        <v>5</v>
      </c>
      <c r="D880" s="9" t="s">
        <v>89</v>
      </c>
      <c r="E880" s="8" t="s">
        <v>90</v>
      </c>
      <c r="F880" s="9">
        <v>5</v>
      </c>
      <c r="G880" s="31">
        <v>45</v>
      </c>
    </row>
    <row r="881" spans="1:7" x14ac:dyDescent="0.3">
      <c r="A881" t="s">
        <v>44</v>
      </c>
      <c r="B881" s="1">
        <v>10</v>
      </c>
      <c r="D881" s="9" t="s">
        <v>45</v>
      </c>
      <c r="E881" s="8" t="s">
        <v>46</v>
      </c>
      <c r="F881" s="9">
        <v>10</v>
      </c>
      <c r="G881" s="31">
        <v>899</v>
      </c>
    </row>
    <row r="882" spans="1:7" x14ac:dyDescent="0.3">
      <c r="A882" t="s">
        <v>105</v>
      </c>
      <c r="B882" s="1">
        <v>5</v>
      </c>
      <c r="D882" s="9" t="s">
        <v>106</v>
      </c>
      <c r="E882" s="8" t="s">
        <v>107</v>
      </c>
      <c r="F882" s="9">
        <v>5</v>
      </c>
      <c r="G882" s="31">
        <v>30</v>
      </c>
    </row>
    <row r="883" spans="1:7" x14ac:dyDescent="0.3">
      <c r="A883" t="s">
        <v>24</v>
      </c>
      <c r="B883" s="1">
        <v>0.3</v>
      </c>
      <c r="D883" s="9" t="s">
        <v>25</v>
      </c>
      <c r="E883" s="8" t="s">
        <v>26</v>
      </c>
      <c r="F883" s="9">
        <v>0.3</v>
      </c>
      <c r="G883" s="31">
        <v>0</v>
      </c>
    </row>
    <row r="884" spans="1:7" x14ac:dyDescent="0.3">
      <c r="A884" t="s">
        <v>71</v>
      </c>
      <c r="B884" s="1">
        <v>0.1</v>
      </c>
      <c r="D884" s="9" t="s">
        <v>72</v>
      </c>
      <c r="E884" s="8" t="s">
        <v>73</v>
      </c>
      <c r="F884" s="9">
        <v>0.1</v>
      </c>
      <c r="G884" s="31">
        <v>270</v>
      </c>
    </row>
    <row r="885" spans="1:7" x14ac:dyDescent="0.3">
      <c r="A885" s="3" t="s">
        <v>10</v>
      </c>
      <c r="B885" s="1">
        <v>170.4</v>
      </c>
      <c r="E885" s="10" t="s">
        <v>11</v>
      </c>
      <c r="F885" s="12">
        <f>SUM(F878:F884)</f>
        <v>170.4</v>
      </c>
      <c r="G885" s="84">
        <f>(G880*$F880+G881*$F881+G882*$F882+G883*$F883+G884*$F884+$F878*G878+$F879*G879)/$F885</f>
        <v>123.77934272300469</v>
      </c>
    </row>
    <row r="886" spans="1:7" x14ac:dyDescent="0.3">
      <c r="A886" s="3" t="s">
        <v>12</v>
      </c>
      <c r="B886" s="1" t="s">
        <v>13</v>
      </c>
      <c r="E886" s="14"/>
      <c r="F886" s="15"/>
      <c r="G886" s="81"/>
    </row>
    <row r="887" spans="1:7" x14ac:dyDescent="0.3">
      <c r="E887" s="17"/>
      <c r="F887" s="1"/>
      <c r="G887" s="79"/>
    </row>
    <row r="888" spans="1:7" x14ac:dyDescent="0.3">
      <c r="E888" s="17"/>
      <c r="F888" s="1"/>
      <c r="G888" s="82"/>
    </row>
    <row r="889" spans="1:7" x14ac:dyDescent="0.3">
      <c r="A889" s="3" t="s">
        <v>685</v>
      </c>
    </row>
    <row r="890" spans="1:7" x14ac:dyDescent="0.3">
      <c r="A890" t="s">
        <v>254</v>
      </c>
      <c r="B890" s="1">
        <v>100</v>
      </c>
      <c r="D890" s="9" t="s">
        <v>255</v>
      </c>
      <c r="E890" s="8" t="s">
        <v>256</v>
      </c>
      <c r="F890" s="9">
        <v>100</v>
      </c>
      <c r="G890" s="31">
        <v>92</v>
      </c>
    </row>
    <row r="891" spans="1:7" x14ac:dyDescent="0.3">
      <c r="A891" t="s">
        <v>44</v>
      </c>
      <c r="B891" s="1">
        <v>10</v>
      </c>
      <c r="D891" s="9" t="s">
        <v>45</v>
      </c>
      <c r="E891" s="8" t="s">
        <v>46</v>
      </c>
      <c r="F891" s="9">
        <v>10</v>
      </c>
      <c r="G891" s="31">
        <v>899</v>
      </c>
    </row>
    <row r="892" spans="1:7" x14ac:dyDescent="0.3">
      <c r="A892" t="s">
        <v>105</v>
      </c>
      <c r="B892" s="1">
        <v>3</v>
      </c>
      <c r="D892" s="9" t="s">
        <v>106</v>
      </c>
      <c r="E892" s="8" t="s">
        <v>107</v>
      </c>
      <c r="F892" s="9">
        <v>3</v>
      </c>
      <c r="G892" s="31">
        <v>30</v>
      </c>
    </row>
    <row r="893" spans="1:7" x14ac:dyDescent="0.3">
      <c r="A893" t="s">
        <v>59</v>
      </c>
      <c r="B893" s="1">
        <v>5</v>
      </c>
      <c r="D893" s="9" t="s">
        <v>60</v>
      </c>
      <c r="E893" s="8" t="s">
        <v>61</v>
      </c>
      <c r="F893" s="9">
        <v>5</v>
      </c>
      <c r="G893" s="31">
        <v>6</v>
      </c>
    </row>
    <row r="894" spans="1:7" x14ac:dyDescent="0.3">
      <c r="A894" t="s">
        <v>66</v>
      </c>
      <c r="B894" s="1">
        <v>7</v>
      </c>
      <c r="D894" s="9" t="s">
        <v>67</v>
      </c>
      <c r="E894" s="8" t="s">
        <v>68</v>
      </c>
      <c r="F894" s="9">
        <v>7</v>
      </c>
      <c r="G894" s="31">
        <v>323</v>
      </c>
    </row>
    <row r="895" spans="1:7" x14ac:dyDescent="0.3">
      <c r="A895" t="s">
        <v>71</v>
      </c>
      <c r="B895" s="1">
        <v>0.1</v>
      </c>
      <c r="D895" s="9" t="s">
        <v>72</v>
      </c>
      <c r="E895" s="8" t="s">
        <v>73</v>
      </c>
      <c r="F895" s="9">
        <v>0.1</v>
      </c>
      <c r="G895" s="31">
        <v>270</v>
      </c>
    </row>
    <row r="896" spans="1:7" x14ac:dyDescent="0.3">
      <c r="A896" t="s">
        <v>24</v>
      </c>
      <c r="B896" s="1">
        <v>0.3</v>
      </c>
      <c r="D896" s="9" t="s">
        <v>25</v>
      </c>
      <c r="E896" s="8" t="s">
        <v>26</v>
      </c>
      <c r="F896" s="9">
        <v>0.3</v>
      </c>
      <c r="G896" s="31">
        <v>0</v>
      </c>
    </row>
    <row r="897" spans="1:7" x14ac:dyDescent="0.3">
      <c r="A897" s="3" t="s">
        <v>10</v>
      </c>
      <c r="B897" s="1">
        <v>125.4</v>
      </c>
      <c r="E897" s="10" t="s">
        <v>11</v>
      </c>
      <c r="F897" s="12">
        <f>SUM(F890:F896)</f>
        <v>125.39999999999999</v>
      </c>
      <c r="G897" s="84">
        <f>(G892*$F892+G893*$F893+G894*$F894+G895*$F895+G896*$F896+$F890*G890+$F891*G891)/$F897</f>
        <v>164.25837320574163</v>
      </c>
    </row>
    <row r="898" spans="1:7" x14ac:dyDescent="0.3">
      <c r="A898" s="3" t="s">
        <v>12</v>
      </c>
      <c r="B898" s="1" t="s">
        <v>13</v>
      </c>
      <c r="E898" s="14"/>
      <c r="F898" s="15"/>
      <c r="G898" s="81"/>
    </row>
    <row r="899" spans="1:7" x14ac:dyDescent="0.3">
      <c r="E899" s="17"/>
      <c r="F899" s="1"/>
      <c r="G899" s="79"/>
    </row>
    <row r="900" spans="1:7" x14ac:dyDescent="0.3">
      <c r="E900" s="17"/>
      <c r="F900" s="1"/>
      <c r="G900" s="82"/>
    </row>
    <row r="901" spans="1:7" x14ac:dyDescent="0.3">
      <c r="A901" s="3" t="s">
        <v>686</v>
      </c>
    </row>
    <row r="902" spans="1:7" x14ac:dyDescent="0.3">
      <c r="A902" t="s">
        <v>687</v>
      </c>
      <c r="B902" s="1">
        <v>200</v>
      </c>
      <c r="D902" s="9" t="s">
        <v>688</v>
      </c>
      <c r="E902" s="8" t="s">
        <v>689</v>
      </c>
      <c r="F902" s="9">
        <v>200</v>
      </c>
      <c r="G902" s="31">
        <v>18</v>
      </c>
    </row>
    <row r="903" spans="1:7" x14ac:dyDescent="0.3">
      <c r="A903" t="s">
        <v>44</v>
      </c>
      <c r="B903" s="1">
        <v>10</v>
      </c>
      <c r="D903" s="9" t="s">
        <v>45</v>
      </c>
      <c r="E903" s="8" t="s">
        <v>46</v>
      </c>
      <c r="F903" s="9">
        <v>10</v>
      </c>
      <c r="G903" s="31">
        <v>899</v>
      </c>
    </row>
    <row r="904" spans="1:7" x14ac:dyDescent="0.3">
      <c r="A904" t="s">
        <v>88</v>
      </c>
      <c r="B904" s="1">
        <v>2</v>
      </c>
      <c r="D904" s="9" t="s">
        <v>89</v>
      </c>
      <c r="E904" s="8" t="s">
        <v>90</v>
      </c>
      <c r="F904" s="9">
        <v>2</v>
      </c>
      <c r="G904" s="31">
        <v>45</v>
      </c>
    </row>
    <row r="905" spans="1:7" x14ac:dyDescent="0.3">
      <c r="A905" t="s">
        <v>24</v>
      </c>
      <c r="B905" s="1">
        <v>0.3</v>
      </c>
      <c r="D905" s="9" t="s">
        <v>25</v>
      </c>
      <c r="E905" s="8" t="s">
        <v>26</v>
      </c>
      <c r="F905" s="9">
        <v>0.3</v>
      </c>
      <c r="G905" s="31">
        <v>0</v>
      </c>
    </row>
    <row r="906" spans="1:7" x14ac:dyDescent="0.3">
      <c r="A906" t="s">
        <v>71</v>
      </c>
      <c r="B906" s="1">
        <v>0.1</v>
      </c>
      <c r="D906" s="9" t="s">
        <v>72</v>
      </c>
      <c r="E906" s="8" t="s">
        <v>73</v>
      </c>
      <c r="F906" s="9">
        <v>0.1</v>
      </c>
      <c r="G906" s="31">
        <v>270</v>
      </c>
    </row>
    <row r="907" spans="1:7" x14ac:dyDescent="0.3">
      <c r="A907" s="3" t="s">
        <v>10</v>
      </c>
      <c r="B907" s="1">
        <v>212.4</v>
      </c>
      <c r="E907" s="10" t="s">
        <v>11</v>
      </c>
      <c r="F907" s="12">
        <f>SUM(F902:F906)</f>
        <v>212.4</v>
      </c>
      <c r="G907" s="84">
        <f>(G902*$F902+G903*$F903+G904*$F904+G905*$F905+G906*$F906)/$F907</f>
        <v>59.825800376647834</v>
      </c>
    </row>
    <row r="908" spans="1:7" x14ac:dyDescent="0.3">
      <c r="A908" s="3" t="s">
        <v>12</v>
      </c>
      <c r="B908" s="1" t="s">
        <v>13</v>
      </c>
      <c r="E908" s="14"/>
      <c r="F908" s="15"/>
      <c r="G908" s="81"/>
    </row>
    <row r="909" spans="1:7" x14ac:dyDescent="0.3">
      <c r="E909" s="17"/>
      <c r="F909" s="1"/>
      <c r="G909" s="79"/>
    </row>
    <row r="910" spans="1:7" x14ac:dyDescent="0.3">
      <c r="E910" s="17"/>
      <c r="F910" s="1"/>
      <c r="G910" s="82"/>
    </row>
    <row r="911" spans="1:7" x14ac:dyDescent="0.3">
      <c r="E911" s="17"/>
      <c r="F911" s="1"/>
      <c r="G911" s="82"/>
    </row>
    <row r="912" spans="1:7" x14ac:dyDescent="0.3">
      <c r="A912" s="3" t="s">
        <v>690</v>
      </c>
    </row>
    <row r="913" spans="1:7" x14ac:dyDescent="0.3">
      <c r="A913" t="s">
        <v>687</v>
      </c>
      <c r="B913" s="1">
        <v>80</v>
      </c>
      <c r="D913" s="9" t="s">
        <v>688</v>
      </c>
      <c r="E913" s="8" t="s">
        <v>689</v>
      </c>
      <c r="F913" s="9">
        <v>80</v>
      </c>
      <c r="G913" s="31">
        <v>18</v>
      </c>
    </row>
    <row r="914" spans="1:7" x14ac:dyDescent="0.3">
      <c r="A914" t="s">
        <v>44</v>
      </c>
      <c r="B914" s="1">
        <v>10</v>
      </c>
      <c r="D914" s="9" t="s">
        <v>45</v>
      </c>
      <c r="E914" s="8" t="s">
        <v>46</v>
      </c>
      <c r="F914" s="9">
        <v>10</v>
      </c>
      <c r="G914" s="31">
        <v>899</v>
      </c>
    </row>
    <row r="915" spans="1:7" x14ac:dyDescent="0.3">
      <c r="A915" t="s">
        <v>21</v>
      </c>
      <c r="B915" s="1">
        <v>5</v>
      </c>
      <c r="D915" s="9" t="s">
        <v>22</v>
      </c>
      <c r="E915" s="8" t="s">
        <v>23</v>
      </c>
      <c r="F915" s="9">
        <v>5</v>
      </c>
      <c r="G915" s="31">
        <v>4</v>
      </c>
    </row>
    <row r="916" spans="1:7" x14ac:dyDescent="0.3">
      <c r="A916" t="s">
        <v>24</v>
      </c>
      <c r="B916" s="1">
        <v>0.3</v>
      </c>
      <c r="D916" s="9" t="s">
        <v>25</v>
      </c>
      <c r="E916" s="8" t="s">
        <v>26</v>
      </c>
      <c r="F916" s="9">
        <v>0.3</v>
      </c>
      <c r="G916" s="31">
        <v>0</v>
      </c>
    </row>
    <row r="917" spans="1:7" x14ac:dyDescent="0.3">
      <c r="A917" s="3" t="s">
        <v>10</v>
      </c>
      <c r="B917" s="1">
        <v>95.3</v>
      </c>
      <c r="E917" s="10" t="s">
        <v>11</v>
      </c>
      <c r="F917" s="12">
        <f>SUM(F913:F916)</f>
        <v>95.3</v>
      </c>
      <c r="G917" s="84">
        <f>(G913*$F913+G914*$F914+G915*$F915+G916*$F916)/$F917</f>
        <v>109.65372507869886</v>
      </c>
    </row>
    <row r="918" spans="1:7" x14ac:dyDescent="0.3">
      <c r="A918" s="3" t="s">
        <v>12</v>
      </c>
      <c r="B918" s="1" t="s">
        <v>13</v>
      </c>
      <c r="E918" s="14"/>
      <c r="F918" s="15"/>
      <c r="G918" s="81"/>
    </row>
    <row r="919" spans="1:7" x14ac:dyDescent="0.3">
      <c r="E919" s="17"/>
      <c r="F919" s="1"/>
      <c r="G919" s="79"/>
    </row>
    <row r="920" spans="1:7" x14ac:dyDescent="0.3">
      <c r="E920" s="17"/>
      <c r="F920" s="1"/>
      <c r="G920" s="82"/>
    </row>
    <row r="921" spans="1:7" x14ac:dyDescent="0.3">
      <c r="E921" s="17"/>
      <c r="F921" s="1"/>
      <c r="G921" s="82"/>
    </row>
    <row r="922" spans="1:7" x14ac:dyDescent="0.3">
      <c r="A922" s="3" t="s">
        <v>691</v>
      </c>
    </row>
    <row r="923" spans="1:7" x14ac:dyDescent="0.3">
      <c r="A923" t="s">
        <v>692</v>
      </c>
      <c r="B923" s="1">
        <v>200</v>
      </c>
      <c r="D923" s="9" t="s">
        <v>693</v>
      </c>
      <c r="E923" s="8" t="s">
        <v>694</v>
      </c>
      <c r="F923" s="9">
        <v>200</v>
      </c>
      <c r="G923" s="31">
        <v>53</v>
      </c>
    </row>
    <row r="924" spans="1:7" x14ac:dyDescent="0.3">
      <c r="A924" t="s">
        <v>44</v>
      </c>
      <c r="B924" s="1">
        <v>10</v>
      </c>
      <c r="D924" s="9" t="s">
        <v>45</v>
      </c>
      <c r="E924" s="8" t="s">
        <v>46</v>
      </c>
      <c r="F924" s="9">
        <v>10</v>
      </c>
      <c r="G924" s="31">
        <v>899</v>
      </c>
    </row>
    <row r="925" spans="1:7" x14ac:dyDescent="0.3">
      <c r="A925" t="s">
        <v>24</v>
      </c>
      <c r="B925" s="1">
        <v>0.3</v>
      </c>
      <c r="D925" s="9" t="s">
        <v>25</v>
      </c>
      <c r="E925" s="8" t="s">
        <v>26</v>
      </c>
      <c r="F925" s="9">
        <v>0.3</v>
      </c>
      <c r="G925" s="31">
        <v>0</v>
      </c>
    </row>
    <row r="926" spans="1:7" x14ac:dyDescent="0.3">
      <c r="A926" s="3" t="s">
        <v>10</v>
      </c>
      <c r="B926" s="1">
        <v>210.3</v>
      </c>
      <c r="E926" s="10" t="s">
        <v>11</v>
      </c>
      <c r="F926" s="12">
        <f>SUM(F923:F925)</f>
        <v>210.3</v>
      </c>
      <c r="G926" s="84">
        <f>(G923*$F923+G924*$F924+G925*$F925)/$F926</f>
        <v>93.152639087018542</v>
      </c>
    </row>
    <row r="927" spans="1:7" x14ac:dyDescent="0.3">
      <c r="A927" s="3" t="s">
        <v>12</v>
      </c>
      <c r="B927" s="1" t="s">
        <v>13</v>
      </c>
      <c r="E927" s="14"/>
      <c r="F927" s="15"/>
      <c r="G927" s="81"/>
    </row>
    <row r="928" spans="1:7" x14ac:dyDescent="0.3">
      <c r="E928" s="17"/>
      <c r="F928" s="1"/>
      <c r="G928" s="79"/>
    </row>
    <row r="929" spans="1:7" x14ac:dyDescent="0.3">
      <c r="E929" s="17"/>
      <c r="F929" s="1"/>
      <c r="G929" s="82"/>
    </row>
    <row r="930" spans="1:7" x14ac:dyDescent="0.3">
      <c r="E930" s="17"/>
      <c r="F930" s="1"/>
      <c r="G930" s="82"/>
    </row>
    <row r="931" spans="1:7" x14ac:dyDescent="0.3">
      <c r="A931" s="3" t="s">
        <v>695</v>
      </c>
    </row>
    <row r="932" spans="1:7" x14ac:dyDescent="0.3">
      <c r="A932" t="s">
        <v>403</v>
      </c>
      <c r="B932" s="1">
        <v>150</v>
      </c>
      <c r="D932" s="9" t="s">
        <v>404</v>
      </c>
      <c r="E932" s="8" t="s">
        <v>405</v>
      </c>
      <c r="F932" s="9">
        <v>150</v>
      </c>
      <c r="G932" s="31">
        <v>72</v>
      </c>
    </row>
    <row r="933" spans="1:7" x14ac:dyDescent="0.3">
      <c r="A933" t="s">
        <v>825</v>
      </c>
      <c r="B933" s="1">
        <v>52</v>
      </c>
      <c r="D933" s="65" t="s">
        <v>213</v>
      </c>
      <c r="E933" s="8" t="s">
        <v>825</v>
      </c>
      <c r="F933" s="9">
        <v>52</v>
      </c>
      <c r="G933" s="83">
        <v>100</v>
      </c>
    </row>
    <row r="934" spans="1:7" x14ac:dyDescent="0.3">
      <c r="A934" t="s">
        <v>44</v>
      </c>
      <c r="B934" s="1">
        <v>10</v>
      </c>
      <c r="D934" s="9" t="s">
        <v>45</v>
      </c>
      <c r="E934" s="8" t="s">
        <v>46</v>
      </c>
      <c r="F934" s="9">
        <v>10</v>
      </c>
      <c r="G934" s="31">
        <v>899</v>
      </c>
    </row>
    <row r="935" spans="1:7" x14ac:dyDescent="0.3">
      <c r="A935" t="s">
        <v>105</v>
      </c>
      <c r="B935" s="1">
        <v>5</v>
      </c>
      <c r="D935" s="9" t="s">
        <v>106</v>
      </c>
      <c r="E935" s="8" t="s">
        <v>107</v>
      </c>
      <c r="F935" s="9">
        <v>5</v>
      </c>
      <c r="G935" s="31">
        <v>30</v>
      </c>
    </row>
    <row r="936" spans="1:7" x14ac:dyDescent="0.3">
      <c r="A936" t="s">
        <v>88</v>
      </c>
      <c r="B936" s="1">
        <v>5</v>
      </c>
      <c r="D936" s="9" t="s">
        <v>89</v>
      </c>
      <c r="E936" s="8" t="s">
        <v>90</v>
      </c>
      <c r="F936" s="9">
        <v>5</v>
      </c>
      <c r="G936" s="31">
        <v>45</v>
      </c>
    </row>
    <row r="937" spans="1:7" x14ac:dyDescent="0.3">
      <c r="A937" t="s">
        <v>24</v>
      </c>
      <c r="B937" s="1">
        <v>0.3</v>
      </c>
      <c r="D937" s="9" t="s">
        <v>25</v>
      </c>
      <c r="E937" s="8" t="s">
        <v>26</v>
      </c>
      <c r="F937" s="9">
        <v>0.3</v>
      </c>
      <c r="G937" s="31">
        <v>0</v>
      </c>
    </row>
    <row r="938" spans="1:7" x14ac:dyDescent="0.3">
      <c r="A938" t="s">
        <v>71</v>
      </c>
      <c r="B938" s="1">
        <v>0.1</v>
      </c>
      <c r="D938" s="9" t="s">
        <v>72</v>
      </c>
      <c r="E938" s="8" t="s">
        <v>73</v>
      </c>
      <c r="F938" s="9">
        <v>0.1</v>
      </c>
      <c r="G938" s="31">
        <v>270</v>
      </c>
    </row>
    <row r="939" spans="1:7" x14ac:dyDescent="0.3">
      <c r="A939" s="3" t="s">
        <v>10</v>
      </c>
      <c r="B939" s="1">
        <v>222.4</v>
      </c>
      <c r="E939" s="10" t="s">
        <v>11</v>
      </c>
      <c r="F939" s="12">
        <f>SUM(F932:F938)</f>
        <v>222.4</v>
      </c>
      <c r="G939" s="84">
        <f>(G934*$F934+G935*$F935+G936*$F936+G937*$F937+G938*$F938+$F932*G932+$F933*G933)/$F939</f>
        <v>114.17266187050359</v>
      </c>
    </row>
    <row r="940" spans="1:7" x14ac:dyDescent="0.3">
      <c r="A940" s="3" t="s">
        <v>12</v>
      </c>
      <c r="B940" s="1" t="s">
        <v>13</v>
      </c>
      <c r="E940" s="14"/>
      <c r="F940" s="15"/>
      <c r="G940" s="81"/>
    </row>
    <row r="941" spans="1:7" x14ac:dyDescent="0.3">
      <c r="E941" s="17"/>
      <c r="F941" s="1"/>
      <c r="G941" s="79"/>
    </row>
    <row r="942" spans="1:7" x14ac:dyDescent="0.3">
      <c r="E942" s="17"/>
      <c r="F942" s="1"/>
      <c r="G942" s="82"/>
    </row>
    <row r="943" spans="1:7" x14ac:dyDescent="0.3">
      <c r="E943" s="17"/>
      <c r="F943" s="1"/>
      <c r="G943" s="82"/>
    </row>
    <row r="944" spans="1:7" x14ac:dyDescent="0.3">
      <c r="A944" s="3" t="s">
        <v>696</v>
      </c>
    </row>
    <row r="945" spans="1:7" x14ac:dyDescent="0.3">
      <c r="A945" t="s">
        <v>697</v>
      </c>
      <c r="B945" s="1">
        <v>150</v>
      </c>
      <c r="D945" s="9" t="s">
        <v>698</v>
      </c>
      <c r="E945" s="8" t="s">
        <v>699</v>
      </c>
      <c r="F945" s="9">
        <v>150</v>
      </c>
      <c r="G945" s="31">
        <v>86</v>
      </c>
    </row>
    <row r="946" spans="1:7" x14ac:dyDescent="0.3">
      <c r="A946" t="s">
        <v>44</v>
      </c>
      <c r="B946" s="1">
        <v>10</v>
      </c>
      <c r="D946" s="9" t="s">
        <v>45</v>
      </c>
      <c r="E946" s="8" t="s">
        <v>46</v>
      </c>
      <c r="F946" s="9">
        <v>10</v>
      </c>
      <c r="G946" s="31">
        <v>899</v>
      </c>
    </row>
    <row r="947" spans="1:7" x14ac:dyDescent="0.3">
      <c r="A947" t="s">
        <v>24</v>
      </c>
      <c r="B947" s="1">
        <v>0.3</v>
      </c>
      <c r="D947" s="9" t="s">
        <v>25</v>
      </c>
      <c r="E947" s="8" t="s">
        <v>26</v>
      </c>
      <c r="F947" s="9">
        <v>0.3</v>
      </c>
      <c r="G947" s="31">
        <v>0</v>
      </c>
    </row>
    <row r="948" spans="1:7" x14ac:dyDescent="0.3">
      <c r="A948" t="s">
        <v>71</v>
      </c>
      <c r="B948" s="1">
        <v>0.1</v>
      </c>
      <c r="D948" s="9" t="s">
        <v>72</v>
      </c>
      <c r="E948" s="8" t="s">
        <v>73</v>
      </c>
      <c r="F948" s="9">
        <v>0.1</v>
      </c>
      <c r="G948" s="31">
        <v>270</v>
      </c>
    </row>
    <row r="949" spans="1:7" x14ac:dyDescent="0.3">
      <c r="A949" t="s">
        <v>98</v>
      </c>
      <c r="B949" s="1">
        <v>2</v>
      </c>
      <c r="D949" s="9" t="s">
        <v>99</v>
      </c>
      <c r="E949" s="8" t="s">
        <v>100</v>
      </c>
      <c r="F949" s="9">
        <v>2</v>
      </c>
      <c r="G949" s="31">
        <v>88</v>
      </c>
    </row>
    <row r="950" spans="1:7" x14ac:dyDescent="0.3">
      <c r="A950" s="3" t="s">
        <v>10</v>
      </c>
      <c r="B950" s="1">
        <v>162.4</v>
      </c>
      <c r="E950" s="10" t="s">
        <v>11</v>
      </c>
      <c r="F950" s="12">
        <f>SUM(F945:F949)</f>
        <v>162.4</v>
      </c>
      <c r="G950" s="84">
        <f>(G945*$F945+G946*$F946+G947*$F947+G948*$F948+G949*$F949)/$F950</f>
        <v>136.04064039408865</v>
      </c>
    </row>
    <row r="951" spans="1:7" x14ac:dyDescent="0.3">
      <c r="A951" s="3" t="s">
        <v>12</v>
      </c>
      <c r="B951" s="1" t="s">
        <v>13</v>
      </c>
      <c r="E951" s="14"/>
      <c r="F951" s="15"/>
      <c r="G951" s="81"/>
    </row>
    <row r="952" spans="1:7" x14ac:dyDescent="0.3">
      <c r="E952" s="17"/>
      <c r="F952" s="1"/>
      <c r="G952" s="79"/>
    </row>
    <row r="953" spans="1:7" x14ac:dyDescent="0.3">
      <c r="E953" s="17"/>
      <c r="F953" s="1"/>
      <c r="G953" s="82"/>
    </row>
    <row r="954" spans="1:7" x14ac:dyDescent="0.3">
      <c r="E954" s="17"/>
      <c r="F954" s="1"/>
      <c r="G954" s="82"/>
    </row>
    <row r="955" spans="1:7" x14ac:dyDescent="0.3">
      <c r="A955" s="3" t="s">
        <v>700</v>
      </c>
    </row>
    <row r="956" spans="1:7" x14ac:dyDescent="0.3">
      <c r="A956" t="s">
        <v>697</v>
      </c>
      <c r="B956" s="1">
        <v>150</v>
      </c>
      <c r="D956" s="9" t="s">
        <v>698</v>
      </c>
      <c r="E956" s="8" t="s">
        <v>699</v>
      </c>
      <c r="F956" s="9">
        <v>150</v>
      </c>
      <c r="G956" s="31">
        <v>86</v>
      </c>
    </row>
    <row r="957" spans="1:7" x14ac:dyDescent="0.3">
      <c r="A957" t="s">
        <v>63</v>
      </c>
      <c r="B957" s="1">
        <v>15</v>
      </c>
      <c r="D957" s="9" t="s">
        <v>64</v>
      </c>
      <c r="E957" s="8" t="s">
        <v>65</v>
      </c>
      <c r="F957" s="9">
        <v>15</v>
      </c>
      <c r="G957" s="31">
        <v>758</v>
      </c>
    </row>
    <row r="958" spans="1:7" x14ac:dyDescent="0.3">
      <c r="A958" t="s">
        <v>66</v>
      </c>
      <c r="B958" s="1">
        <v>7</v>
      </c>
      <c r="D958" s="9" t="s">
        <v>67</v>
      </c>
      <c r="E958" s="8" t="s">
        <v>68</v>
      </c>
      <c r="F958" s="9">
        <v>7</v>
      </c>
      <c r="G958" s="31">
        <v>323</v>
      </c>
    </row>
    <row r="959" spans="1:7" x14ac:dyDescent="0.3">
      <c r="A959" t="s">
        <v>145</v>
      </c>
      <c r="B959" s="1">
        <v>3</v>
      </c>
      <c r="D959" s="9" t="s">
        <v>146</v>
      </c>
      <c r="E959" s="8" t="s">
        <v>147</v>
      </c>
      <c r="F959" s="9">
        <v>3</v>
      </c>
      <c r="G959" s="31">
        <v>28</v>
      </c>
    </row>
    <row r="960" spans="1:7" x14ac:dyDescent="0.3">
      <c r="A960" t="s">
        <v>105</v>
      </c>
      <c r="B960" s="1">
        <v>3</v>
      </c>
      <c r="D960" s="9" t="s">
        <v>106</v>
      </c>
      <c r="E960" s="8" t="s">
        <v>107</v>
      </c>
      <c r="F960" s="9">
        <v>3</v>
      </c>
      <c r="G960" s="31">
        <v>30</v>
      </c>
    </row>
    <row r="961" spans="1:7" x14ac:dyDescent="0.3">
      <c r="A961" t="s">
        <v>24</v>
      </c>
      <c r="B961" s="1">
        <v>0.3</v>
      </c>
      <c r="D961" s="9" t="s">
        <v>25</v>
      </c>
      <c r="E961" s="8" t="s">
        <v>26</v>
      </c>
      <c r="F961" s="9">
        <v>0.3</v>
      </c>
      <c r="G961" s="31">
        <v>0</v>
      </c>
    </row>
    <row r="962" spans="1:7" x14ac:dyDescent="0.3">
      <c r="A962" t="s">
        <v>71</v>
      </c>
      <c r="B962" s="1">
        <v>0.1</v>
      </c>
      <c r="D962" s="9" t="s">
        <v>72</v>
      </c>
      <c r="E962" s="8" t="s">
        <v>73</v>
      </c>
      <c r="F962" s="9">
        <v>0.1</v>
      </c>
      <c r="G962" s="31">
        <v>270</v>
      </c>
    </row>
    <row r="963" spans="1:7" x14ac:dyDescent="0.3">
      <c r="A963" s="3" t="s">
        <v>10</v>
      </c>
      <c r="B963" s="1">
        <v>178.4</v>
      </c>
      <c r="E963" s="10" t="s">
        <v>11</v>
      </c>
      <c r="F963" s="12">
        <f>SUM(F956:F962)</f>
        <v>178.4</v>
      </c>
      <c r="G963" s="84">
        <f>(G958*$F958+G959*$F959+G960*$F960+G961*$F961+G962*$F962+$F956*G956+$F957*G957)/$F963</f>
        <v>149.84304932735427</v>
      </c>
    </row>
    <row r="964" spans="1:7" x14ac:dyDescent="0.3">
      <c r="A964" s="3" t="s">
        <v>12</v>
      </c>
      <c r="B964" s="1" t="s">
        <v>13</v>
      </c>
      <c r="E964" s="14"/>
      <c r="F964" s="15"/>
      <c r="G964" s="81"/>
    </row>
    <row r="965" spans="1:7" x14ac:dyDescent="0.3">
      <c r="E965" s="17"/>
      <c r="F965" s="1"/>
      <c r="G965" s="79"/>
    </row>
    <row r="966" spans="1:7" x14ac:dyDescent="0.3">
      <c r="E966" s="17"/>
      <c r="F966" s="1"/>
      <c r="G966" s="82"/>
    </row>
    <row r="967" spans="1:7" x14ac:dyDescent="0.3">
      <c r="E967" s="17"/>
      <c r="F967" s="1"/>
      <c r="G967" s="82"/>
    </row>
    <row r="968" spans="1:7" x14ac:dyDescent="0.3">
      <c r="A968" s="3" t="s">
        <v>701</v>
      </c>
      <c r="F968" s="1"/>
    </row>
    <row r="969" spans="1:7" x14ac:dyDescent="0.3">
      <c r="A969" t="s">
        <v>697</v>
      </c>
      <c r="B969" s="1">
        <v>150</v>
      </c>
      <c r="D969" s="9" t="s">
        <v>698</v>
      </c>
      <c r="E969" s="8" t="s">
        <v>699</v>
      </c>
      <c r="F969" s="40">
        <v>150</v>
      </c>
      <c r="G969" s="31">
        <v>86</v>
      </c>
    </row>
    <row r="970" spans="1:7" x14ac:dyDescent="0.3">
      <c r="A970" t="s">
        <v>848</v>
      </c>
      <c r="B970" s="1">
        <v>10</v>
      </c>
      <c r="D970" s="9" t="s">
        <v>257</v>
      </c>
      <c r="E970" s="8" t="s">
        <v>848</v>
      </c>
      <c r="F970" s="40">
        <v>10</v>
      </c>
      <c r="G970" s="31">
        <v>357</v>
      </c>
    </row>
    <row r="971" spans="1:7" x14ac:dyDescent="0.3">
      <c r="A971" t="s">
        <v>258</v>
      </c>
      <c r="B971" s="1">
        <v>12.5</v>
      </c>
      <c r="D971" s="9" t="s">
        <v>259</v>
      </c>
      <c r="E971" s="8" t="s">
        <v>260</v>
      </c>
      <c r="F971" s="40">
        <v>12.5</v>
      </c>
      <c r="G971" s="31">
        <v>128</v>
      </c>
    </row>
    <row r="972" spans="1:7" x14ac:dyDescent="0.3">
      <c r="A972" t="s">
        <v>44</v>
      </c>
      <c r="B972" s="1">
        <v>15</v>
      </c>
      <c r="D972" s="9" t="s">
        <v>45</v>
      </c>
      <c r="E972" s="8" t="s">
        <v>46</v>
      </c>
      <c r="F972" s="40">
        <v>15</v>
      </c>
      <c r="G972" s="31">
        <v>899</v>
      </c>
    </row>
    <row r="973" spans="1:7" x14ac:dyDescent="0.3">
      <c r="A973" t="s">
        <v>145</v>
      </c>
      <c r="B973" s="1">
        <v>3</v>
      </c>
      <c r="D973" s="9" t="s">
        <v>146</v>
      </c>
      <c r="E973" s="8" t="s">
        <v>147</v>
      </c>
      <c r="F973" s="40">
        <v>3</v>
      </c>
      <c r="G973" s="31">
        <v>28</v>
      </c>
    </row>
    <row r="974" spans="1:7" x14ac:dyDescent="0.3">
      <c r="A974" t="s">
        <v>24</v>
      </c>
      <c r="B974" s="1">
        <v>0.3</v>
      </c>
      <c r="D974" s="9" t="s">
        <v>25</v>
      </c>
      <c r="E974" s="8" t="s">
        <v>26</v>
      </c>
      <c r="F974" s="40">
        <v>0.3</v>
      </c>
      <c r="G974" s="31">
        <v>0</v>
      </c>
    </row>
    <row r="975" spans="1:7" x14ac:dyDescent="0.3">
      <c r="A975" t="s">
        <v>71</v>
      </c>
      <c r="B975" s="1">
        <v>0.1</v>
      </c>
      <c r="D975" s="9" t="s">
        <v>72</v>
      </c>
      <c r="E975" s="8" t="s">
        <v>73</v>
      </c>
      <c r="F975" s="40">
        <v>0.1</v>
      </c>
      <c r="G975" s="31">
        <v>270</v>
      </c>
    </row>
    <row r="976" spans="1:7" x14ac:dyDescent="0.3">
      <c r="A976" s="3" t="s">
        <v>10</v>
      </c>
      <c r="B976" s="1">
        <v>190.9</v>
      </c>
      <c r="E976" s="10" t="s">
        <v>11</v>
      </c>
      <c r="F976" s="12">
        <f>SUM(F969:F975)</f>
        <v>190.9</v>
      </c>
      <c r="G976" s="84">
        <f>(G971*$F971+G972*$F972+G973*$F973+G974*$F974+G975*$F975+$F969*G969+$F970*G970)/$F976</f>
        <v>165.87742273441592</v>
      </c>
    </row>
    <row r="977" spans="1:7" x14ac:dyDescent="0.3">
      <c r="A977" s="3" t="s">
        <v>12</v>
      </c>
      <c r="B977" s="1" t="s">
        <v>13</v>
      </c>
      <c r="E977" s="14"/>
      <c r="F977" s="15"/>
      <c r="G977" s="81"/>
    </row>
    <row r="978" spans="1:7" x14ac:dyDescent="0.3">
      <c r="E978" s="17"/>
      <c r="F978" s="1"/>
      <c r="G978" s="79"/>
    </row>
    <row r="979" spans="1:7" x14ac:dyDescent="0.3">
      <c r="E979" s="17"/>
      <c r="F979" s="1"/>
      <c r="G979" s="82"/>
    </row>
    <row r="980" spans="1:7" x14ac:dyDescent="0.3">
      <c r="E980" s="17"/>
      <c r="F980" s="1"/>
      <c r="G980" s="82"/>
    </row>
    <row r="981" spans="1:7" x14ac:dyDescent="0.3">
      <c r="A981" s="3" t="s">
        <v>702</v>
      </c>
    </row>
    <row r="982" spans="1:7" x14ac:dyDescent="0.3">
      <c r="A982" t="s">
        <v>838</v>
      </c>
      <c r="B982" s="1">
        <v>80</v>
      </c>
      <c r="D982" s="9" t="s">
        <v>495</v>
      </c>
      <c r="E982" s="8" t="s">
        <v>838</v>
      </c>
      <c r="F982" s="40">
        <v>80</v>
      </c>
      <c r="G982" s="31">
        <v>341</v>
      </c>
    </row>
    <row r="983" spans="1:7" x14ac:dyDescent="0.3">
      <c r="A983" t="s">
        <v>400</v>
      </c>
      <c r="B983" s="1">
        <v>60</v>
      </c>
      <c r="D983" s="9" t="s">
        <v>401</v>
      </c>
      <c r="E983" s="8" t="s">
        <v>402</v>
      </c>
      <c r="F983" s="40">
        <v>60</v>
      </c>
      <c r="G983" s="31">
        <v>72</v>
      </c>
    </row>
    <row r="984" spans="1:7" x14ac:dyDescent="0.3">
      <c r="A984" t="s">
        <v>44</v>
      </c>
      <c r="B984" s="1">
        <v>10</v>
      </c>
      <c r="D984" s="9" t="s">
        <v>45</v>
      </c>
      <c r="E984" s="8" t="s">
        <v>46</v>
      </c>
      <c r="F984" s="40">
        <v>10</v>
      </c>
      <c r="G984" s="31">
        <v>899</v>
      </c>
    </row>
    <row r="985" spans="1:7" x14ac:dyDescent="0.3">
      <c r="A985" t="s">
        <v>88</v>
      </c>
      <c r="B985" s="1">
        <v>3</v>
      </c>
      <c r="D985" s="9" t="s">
        <v>89</v>
      </c>
      <c r="E985" s="8" t="s">
        <v>90</v>
      </c>
      <c r="F985" s="40">
        <v>3</v>
      </c>
      <c r="G985" s="31">
        <v>45</v>
      </c>
    </row>
    <row r="986" spans="1:7" x14ac:dyDescent="0.3">
      <c r="A986" t="s">
        <v>105</v>
      </c>
      <c r="B986" s="1">
        <v>5</v>
      </c>
      <c r="D986" s="9" t="s">
        <v>106</v>
      </c>
      <c r="E986" s="8" t="s">
        <v>107</v>
      </c>
      <c r="F986" s="40">
        <v>5</v>
      </c>
      <c r="G986" s="31">
        <v>30</v>
      </c>
    </row>
    <row r="987" spans="1:7" x14ac:dyDescent="0.3">
      <c r="A987" t="s">
        <v>24</v>
      </c>
      <c r="B987" s="1">
        <v>0.3</v>
      </c>
      <c r="D987" s="9" t="s">
        <v>25</v>
      </c>
      <c r="E987" s="8" t="s">
        <v>26</v>
      </c>
      <c r="F987" s="40">
        <v>0.3</v>
      </c>
      <c r="G987" s="31">
        <v>0</v>
      </c>
    </row>
    <row r="988" spans="1:7" x14ac:dyDescent="0.3">
      <c r="A988" s="3" t="s">
        <v>10</v>
      </c>
      <c r="B988" s="1">
        <v>158.30000000000001</v>
      </c>
      <c r="E988" s="10" t="s">
        <v>11</v>
      </c>
      <c r="F988" s="12">
        <f>SUM(F982:F987)</f>
        <v>158.30000000000001</v>
      </c>
      <c r="G988" s="84">
        <f>(G983*$F983+G984*$F984+G985*$F985+G986*$F986+G987*$F987+$F982*G982)/$F988</f>
        <v>258.21225521162347</v>
      </c>
    </row>
    <row r="989" spans="1:7" x14ac:dyDescent="0.3">
      <c r="A989" s="3" t="s">
        <v>12</v>
      </c>
      <c r="B989" s="1" t="s">
        <v>13</v>
      </c>
      <c r="E989" s="14"/>
      <c r="F989" s="15"/>
      <c r="G989" s="81"/>
    </row>
    <row r="990" spans="1:7" x14ac:dyDescent="0.3">
      <c r="E990" s="17"/>
      <c r="F990" s="1"/>
      <c r="G990" s="79"/>
    </row>
    <row r="991" spans="1:7" x14ac:dyDescent="0.3">
      <c r="E991" s="17"/>
      <c r="F991" s="1"/>
      <c r="G991" s="82"/>
    </row>
    <row r="992" spans="1:7" x14ac:dyDescent="0.3">
      <c r="E992" s="17"/>
      <c r="F992" s="1"/>
      <c r="G992" s="82"/>
    </row>
    <row r="993" spans="1:7" x14ac:dyDescent="0.3">
      <c r="A993" s="3" t="s">
        <v>703</v>
      </c>
    </row>
    <row r="994" spans="1:7" x14ac:dyDescent="0.3">
      <c r="A994" t="s">
        <v>838</v>
      </c>
      <c r="B994" s="1">
        <v>80</v>
      </c>
      <c r="D994" s="9" t="s">
        <v>495</v>
      </c>
      <c r="E994" s="8" t="s">
        <v>838</v>
      </c>
      <c r="F994" s="9">
        <v>80</v>
      </c>
      <c r="G994" s="31">
        <v>341</v>
      </c>
    </row>
    <row r="995" spans="1:7" x14ac:dyDescent="0.3">
      <c r="A995" t="s">
        <v>44</v>
      </c>
      <c r="B995" s="1">
        <v>10</v>
      </c>
      <c r="D995" s="9" t="s">
        <v>45</v>
      </c>
      <c r="E995" s="8" t="s">
        <v>46</v>
      </c>
      <c r="F995" s="9">
        <v>10</v>
      </c>
      <c r="G995" s="31">
        <v>899</v>
      </c>
    </row>
    <row r="996" spans="1:7" x14ac:dyDescent="0.3">
      <c r="A996" t="s">
        <v>841</v>
      </c>
      <c r="B996" s="1">
        <v>1</v>
      </c>
      <c r="D996" s="9" t="s">
        <v>457</v>
      </c>
      <c r="E996" s="8" t="s">
        <v>841</v>
      </c>
      <c r="F996" s="9">
        <v>1</v>
      </c>
      <c r="G996" s="31">
        <v>30</v>
      </c>
    </row>
    <row r="997" spans="1:7" x14ac:dyDescent="0.3">
      <c r="A997" t="s">
        <v>88</v>
      </c>
      <c r="B997" s="1">
        <v>3</v>
      </c>
      <c r="D997" s="9" t="s">
        <v>89</v>
      </c>
      <c r="E997" s="8" t="s">
        <v>90</v>
      </c>
      <c r="F997" s="9">
        <v>3</v>
      </c>
      <c r="G997" s="31">
        <v>45</v>
      </c>
    </row>
    <row r="998" spans="1:7" x14ac:dyDescent="0.3">
      <c r="A998" t="s">
        <v>105</v>
      </c>
      <c r="B998" s="1">
        <v>4</v>
      </c>
      <c r="D998" s="9" t="s">
        <v>106</v>
      </c>
      <c r="E998" s="8" t="s">
        <v>107</v>
      </c>
      <c r="F998" s="9">
        <v>4</v>
      </c>
      <c r="G998" s="31">
        <v>30</v>
      </c>
    </row>
    <row r="999" spans="1:7" x14ac:dyDescent="0.3">
      <c r="A999" t="s">
        <v>24</v>
      </c>
      <c r="B999" s="1">
        <v>0.3</v>
      </c>
      <c r="D999" s="9" t="s">
        <v>25</v>
      </c>
      <c r="E999" s="8" t="s">
        <v>26</v>
      </c>
      <c r="F999" s="9">
        <v>0.3</v>
      </c>
      <c r="G999" s="31">
        <v>0</v>
      </c>
    </row>
    <row r="1000" spans="1:7" x14ac:dyDescent="0.3">
      <c r="A1000" s="3" t="s">
        <v>10</v>
      </c>
      <c r="B1000" s="1">
        <v>98.3</v>
      </c>
      <c r="E1000" s="10" t="s">
        <v>11</v>
      </c>
      <c r="F1000" s="12">
        <f>SUM(F994:F999)</f>
        <v>98.3</v>
      </c>
      <c r="G1000" s="84">
        <f>(G995*$F995+G996*$F996+G997*$F997+G998*$F998+G999*$F999+$F994*G994)/$F1000</f>
        <v>371.87182095625639</v>
      </c>
    </row>
    <row r="1001" spans="1:7" x14ac:dyDescent="0.3">
      <c r="A1001" s="3" t="s">
        <v>12</v>
      </c>
      <c r="B1001" s="1" t="s">
        <v>13</v>
      </c>
      <c r="E1001" s="14"/>
      <c r="F1001" s="15"/>
      <c r="G1001" s="81"/>
    </row>
    <row r="1002" spans="1:7" x14ac:dyDescent="0.3">
      <c r="E1002" s="17"/>
      <c r="F1002" s="1"/>
      <c r="G1002" s="79"/>
    </row>
    <row r="1003" spans="1:7" x14ac:dyDescent="0.3">
      <c r="E1003" s="17"/>
      <c r="F1003" s="1"/>
      <c r="G1003" s="82"/>
    </row>
    <row r="1004" spans="1:7" x14ac:dyDescent="0.3">
      <c r="E1004" s="17"/>
      <c r="F1004" s="1"/>
      <c r="G1004" s="82"/>
    </row>
    <row r="1005" spans="1:7" x14ac:dyDescent="0.3">
      <c r="A1005" s="3" t="s">
        <v>704</v>
      </c>
    </row>
    <row r="1006" spans="1:7" x14ac:dyDescent="0.3">
      <c r="A1006" t="s">
        <v>82</v>
      </c>
      <c r="B1006" s="1">
        <v>100</v>
      </c>
      <c r="D1006" s="9" t="s">
        <v>83</v>
      </c>
      <c r="E1006" s="8" t="s">
        <v>84</v>
      </c>
      <c r="F1006" s="9">
        <v>100</v>
      </c>
      <c r="G1006" s="31">
        <v>108</v>
      </c>
    </row>
    <row r="1007" spans="1:7" x14ac:dyDescent="0.3">
      <c r="A1007" t="s">
        <v>63</v>
      </c>
      <c r="B1007" s="1">
        <v>10</v>
      </c>
      <c r="D1007" s="9" t="s">
        <v>64</v>
      </c>
      <c r="E1007" s="8" t="s">
        <v>65</v>
      </c>
      <c r="F1007" s="9">
        <v>10</v>
      </c>
      <c r="G1007" s="31">
        <v>758</v>
      </c>
    </row>
    <row r="1008" spans="1:7" x14ac:dyDescent="0.3">
      <c r="A1008" t="s">
        <v>126</v>
      </c>
      <c r="B1008" s="1">
        <v>45</v>
      </c>
      <c r="D1008" s="9" t="s">
        <v>127</v>
      </c>
      <c r="E1008" s="8" t="s">
        <v>128</v>
      </c>
      <c r="F1008" s="9">
        <v>45</v>
      </c>
      <c r="G1008" s="31">
        <v>28</v>
      </c>
    </row>
    <row r="1009" spans="1:7" x14ac:dyDescent="0.3">
      <c r="A1009" t="s">
        <v>262</v>
      </c>
      <c r="B1009" s="1">
        <v>50</v>
      </c>
      <c r="D1009" s="9" t="s">
        <v>263</v>
      </c>
      <c r="E1009" s="8" t="s">
        <v>264</v>
      </c>
      <c r="F1009" s="9">
        <v>50</v>
      </c>
      <c r="G1009" s="31">
        <v>5</v>
      </c>
    </row>
    <row r="1010" spans="1:7" x14ac:dyDescent="0.3">
      <c r="A1010" t="s">
        <v>88</v>
      </c>
      <c r="B1010" s="1">
        <v>3</v>
      </c>
      <c r="D1010" s="9" t="s">
        <v>89</v>
      </c>
      <c r="E1010" s="8" t="s">
        <v>90</v>
      </c>
      <c r="F1010" s="9">
        <v>3</v>
      </c>
      <c r="G1010" s="31">
        <v>45</v>
      </c>
    </row>
    <row r="1011" spans="1:7" x14ac:dyDescent="0.3">
      <c r="A1011" t="s">
        <v>98</v>
      </c>
      <c r="B1011" s="1">
        <v>1</v>
      </c>
      <c r="D1011" s="9" t="s">
        <v>99</v>
      </c>
      <c r="E1011" s="8" t="s">
        <v>100</v>
      </c>
      <c r="F1011" s="9">
        <v>1</v>
      </c>
      <c r="G1011" s="31">
        <v>88</v>
      </c>
    </row>
    <row r="1012" spans="1:7" x14ac:dyDescent="0.3">
      <c r="A1012" t="s">
        <v>66</v>
      </c>
      <c r="B1012" s="1">
        <v>1</v>
      </c>
      <c r="D1012" s="9" t="s">
        <v>67</v>
      </c>
      <c r="E1012" s="8" t="s">
        <v>68</v>
      </c>
      <c r="F1012" s="9">
        <v>1</v>
      </c>
      <c r="G1012" s="31">
        <v>323</v>
      </c>
    </row>
    <row r="1013" spans="1:7" x14ac:dyDescent="0.3">
      <c r="A1013" t="s">
        <v>71</v>
      </c>
      <c r="B1013" s="1">
        <v>0.1</v>
      </c>
      <c r="D1013" s="9" t="s">
        <v>72</v>
      </c>
      <c r="E1013" s="8" t="s">
        <v>73</v>
      </c>
      <c r="F1013" s="9">
        <v>0.1</v>
      </c>
      <c r="G1013" s="31">
        <v>270</v>
      </c>
    </row>
    <row r="1014" spans="1:7" x14ac:dyDescent="0.3">
      <c r="A1014" s="3" t="s">
        <v>10</v>
      </c>
      <c r="B1014" s="1">
        <v>210.1</v>
      </c>
      <c r="E1014" s="10" t="s">
        <v>11</v>
      </c>
      <c r="F1014" s="12">
        <f>SUM(F1006:F1013)</f>
        <v>210.1</v>
      </c>
      <c r="G1014" s="84">
        <f>(G1009*$F1009+G1010*$F1010+G1011*$F1011+G1012*$F1012+G1013*$F1013+$F1007*G1007+$F1008*G1008+G1006*$F1006)/$F1014</f>
        <v>97.396477867682066</v>
      </c>
    </row>
    <row r="1015" spans="1:7" x14ac:dyDescent="0.3">
      <c r="A1015" s="3" t="s">
        <v>12</v>
      </c>
      <c r="B1015" s="1" t="s">
        <v>13</v>
      </c>
      <c r="E1015" s="14"/>
      <c r="F1015" s="15"/>
      <c r="G1015" s="81"/>
    </row>
    <row r="1016" spans="1:7" x14ac:dyDescent="0.3">
      <c r="E1016" s="17"/>
      <c r="F1016" s="1"/>
      <c r="G1016" s="79"/>
    </row>
    <row r="1017" spans="1:7" x14ac:dyDescent="0.3">
      <c r="E1017" s="17"/>
      <c r="F1017" s="1"/>
      <c r="G1017" s="82"/>
    </row>
    <row r="1018" spans="1:7" x14ac:dyDescent="0.3">
      <c r="E1018" s="17"/>
      <c r="F1018" s="1"/>
      <c r="G1018" s="82"/>
    </row>
    <row r="1019" spans="1:7" x14ac:dyDescent="0.3">
      <c r="A1019" s="3" t="s">
        <v>705</v>
      </c>
    </row>
    <row r="1020" spans="1:7" x14ac:dyDescent="0.3">
      <c r="A1020" t="s">
        <v>104</v>
      </c>
      <c r="B1020" s="1">
        <v>30</v>
      </c>
      <c r="D1020" s="9" t="s">
        <v>83</v>
      </c>
      <c r="E1020" s="8" t="s">
        <v>84</v>
      </c>
      <c r="F1020" s="9">
        <v>30</v>
      </c>
      <c r="G1020" s="31">
        <v>108</v>
      </c>
    </row>
    <row r="1021" spans="1:7" x14ac:dyDescent="0.3">
      <c r="A1021" t="s">
        <v>706</v>
      </c>
      <c r="B1021" s="1">
        <v>30</v>
      </c>
      <c r="D1021" s="9" t="s">
        <v>707</v>
      </c>
      <c r="E1021" s="8" t="s">
        <v>708</v>
      </c>
      <c r="F1021" s="9">
        <v>30</v>
      </c>
      <c r="G1021" s="31">
        <v>304</v>
      </c>
    </row>
    <row r="1022" spans="1:7" x14ac:dyDescent="0.3">
      <c r="A1022" t="s">
        <v>709</v>
      </c>
      <c r="B1022" s="1">
        <v>30</v>
      </c>
      <c r="D1022" s="9" t="s">
        <v>710</v>
      </c>
      <c r="E1022" s="8" t="s">
        <v>711</v>
      </c>
      <c r="F1022" s="9">
        <v>30</v>
      </c>
      <c r="G1022" s="31">
        <v>141</v>
      </c>
    </row>
    <row r="1023" spans="1:7" x14ac:dyDescent="0.3">
      <c r="A1023" t="s">
        <v>231</v>
      </c>
      <c r="B1023" s="1">
        <v>10</v>
      </c>
      <c r="D1023" s="9" t="s">
        <v>232</v>
      </c>
      <c r="E1023" s="8" t="s">
        <v>233</v>
      </c>
      <c r="F1023" s="9">
        <v>10</v>
      </c>
      <c r="G1023" s="31">
        <v>661</v>
      </c>
    </row>
    <row r="1024" spans="1:7" x14ac:dyDescent="0.3">
      <c r="A1024" t="s">
        <v>712</v>
      </c>
      <c r="B1024" s="1">
        <v>30</v>
      </c>
      <c r="D1024" s="9" t="s">
        <v>377</v>
      </c>
      <c r="E1024" s="8" t="s">
        <v>845</v>
      </c>
      <c r="F1024" s="9">
        <v>30</v>
      </c>
      <c r="G1024" s="31">
        <v>26</v>
      </c>
    </row>
    <row r="1025" spans="1:7" x14ac:dyDescent="0.3">
      <c r="A1025" t="s">
        <v>126</v>
      </c>
      <c r="B1025" s="1">
        <v>30</v>
      </c>
      <c r="D1025" s="9" t="s">
        <v>127</v>
      </c>
      <c r="E1025" s="8" t="s">
        <v>128</v>
      </c>
      <c r="F1025" s="9">
        <v>30</v>
      </c>
      <c r="G1025" s="31">
        <v>28</v>
      </c>
    </row>
    <row r="1026" spans="1:7" x14ac:dyDescent="0.3">
      <c r="A1026" t="s">
        <v>24</v>
      </c>
      <c r="B1026" s="1">
        <v>0.3</v>
      </c>
      <c r="D1026" s="9" t="s">
        <v>25</v>
      </c>
      <c r="E1026" s="8" t="s">
        <v>26</v>
      </c>
      <c r="F1026" s="9">
        <v>0.3</v>
      </c>
      <c r="G1026" s="31">
        <v>0</v>
      </c>
    </row>
    <row r="1027" spans="1:7" x14ac:dyDescent="0.3">
      <c r="A1027" s="3" t="s">
        <v>10</v>
      </c>
      <c r="B1027" s="1">
        <v>160.30000000000001</v>
      </c>
      <c r="E1027" s="10" t="s">
        <v>11</v>
      </c>
      <c r="F1027" s="12">
        <f>SUM(F1020:F1026)</f>
        <v>160.30000000000001</v>
      </c>
      <c r="G1027" s="84">
        <f>(G1022*$F1022+G1023*$F1023+G1024*$F1024+G1025*$F1025+G1026*$F1026+$F1020*G1020+$F1021*G1021)/$F1027</f>
        <v>154.83468496568932</v>
      </c>
    </row>
    <row r="1028" spans="1:7" x14ac:dyDescent="0.3">
      <c r="A1028" s="3" t="s">
        <v>12</v>
      </c>
      <c r="B1028" s="1" t="s">
        <v>13</v>
      </c>
      <c r="E1028" s="14"/>
      <c r="F1028" s="15"/>
      <c r="G1028" s="81"/>
    </row>
    <row r="1029" spans="1:7" x14ac:dyDescent="0.3">
      <c r="E1029" s="17"/>
      <c r="F1029" s="1"/>
      <c r="G1029" s="79"/>
    </row>
    <row r="1030" spans="1:7" x14ac:dyDescent="0.3">
      <c r="E1030" s="17"/>
      <c r="F1030" s="1"/>
      <c r="G1030" s="82"/>
    </row>
    <row r="1031" spans="1:7" x14ac:dyDescent="0.3">
      <c r="E1031" s="17"/>
      <c r="F1031" s="1"/>
      <c r="G1031" s="82"/>
    </row>
    <row r="1032" spans="1:7" x14ac:dyDescent="0.3">
      <c r="A1032" s="3" t="s">
        <v>713</v>
      </c>
    </row>
    <row r="1033" spans="1:7" x14ac:dyDescent="0.3">
      <c r="A1033" t="s">
        <v>304</v>
      </c>
      <c r="B1033" s="1">
        <v>40</v>
      </c>
      <c r="D1033" s="9" t="s">
        <v>305</v>
      </c>
      <c r="E1033" s="8" t="s">
        <v>306</v>
      </c>
      <c r="F1033" s="9">
        <v>40</v>
      </c>
      <c r="G1033" s="31">
        <v>71</v>
      </c>
    </row>
    <row r="1034" spans="1:7" x14ac:dyDescent="0.3">
      <c r="A1034" t="s">
        <v>680</v>
      </c>
      <c r="B1034" s="1">
        <v>40</v>
      </c>
      <c r="D1034" s="9" t="s">
        <v>681</v>
      </c>
      <c r="E1034" s="8" t="s">
        <v>682</v>
      </c>
      <c r="F1034" s="9">
        <v>40</v>
      </c>
      <c r="G1034" s="31">
        <v>185</v>
      </c>
    </row>
    <row r="1035" spans="1:7" x14ac:dyDescent="0.3">
      <c r="A1035" t="s">
        <v>403</v>
      </c>
      <c r="B1035" s="1">
        <v>40</v>
      </c>
      <c r="D1035" s="9" t="s">
        <v>404</v>
      </c>
      <c r="E1035" s="8" t="s">
        <v>405</v>
      </c>
      <c r="F1035" s="9">
        <v>40</v>
      </c>
      <c r="G1035" s="31">
        <v>72</v>
      </c>
    </row>
    <row r="1036" spans="1:7" x14ac:dyDescent="0.3">
      <c r="A1036" t="s">
        <v>550</v>
      </c>
      <c r="B1036" s="1">
        <v>30</v>
      </c>
      <c r="D1036" s="9" t="s">
        <v>388</v>
      </c>
      <c r="E1036" s="8" t="s">
        <v>389</v>
      </c>
      <c r="F1036" s="9">
        <v>30</v>
      </c>
      <c r="G1036" s="31">
        <v>71</v>
      </c>
    </row>
    <row r="1037" spans="1:7" x14ac:dyDescent="0.3">
      <c r="A1037" t="s">
        <v>712</v>
      </c>
      <c r="B1037" s="1">
        <v>30</v>
      </c>
      <c r="D1037" s="9" t="s">
        <v>377</v>
      </c>
      <c r="E1037" s="8" t="s">
        <v>845</v>
      </c>
      <c r="F1037" s="9">
        <v>30</v>
      </c>
      <c r="G1037" s="31">
        <v>26</v>
      </c>
    </row>
    <row r="1038" spans="1:7" x14ac:dyDescent="0.3">
      <c r="A1038" t="s">
        <v>374</v>
      </c>
      <c r="B1038" s="1">
        <v>30</v>
      </c>
      <c r="D1038" s="9" t="s">
        <v>375</v>
      </c>
      <c r="E1038" s="8" t="s">
        <v>376</v>
      </c>
      <c r="F1038" s="9">
        <v>30</v>
      </c>
      <c r="G1038" s="31">
        <v>14</v>
      </c>
    </row>
    <row r="1039" spans="1:7" x14ac:dyDescent="0.3">
      <c r="A1039" t="s">
        <v>44</v>
      </c>
      <c r="B1039" s="1">
        <v>10</v>
      </c>
      <c r="D1039" s="9" t="s">
        <v>45</v>
      </c>
      <c r="E1039" s="8" t="s">
        <v>46</v>
      </c>
      <c r="F1039" s="9">
        <v>10</v>
      </c>
      <c r="G1039" s="31">
        <v>899</v>
      </c>
    </row>
    <row r="1040" spans="1:7" x14ac:dyDescent="0.3">
      <c r="A1040" t="s">
        <v>105</v>
      </c>
      <c r="B1040" s="1">
        <v>2</v>
      </c>
      <c r="D1040" s="9" t="s">
        <v>106</v>
      </c>
      <c r="E1040" s="8" t="s">
        <v>107</v>
      </c>
      <c r="F1040" s="9">
        <v>2</v>
      </c>
      <c r="G1040" s="31">
        <v>30</v>
      </c>
    </row>
    <row r="1041" spans="1:7" x14ac:dyDescent="0.3">
      <c r="A1041" t="s">
        <v>59</v>
      </c>
      <c r="B1041" s="1">
        <v>1</v>
      </c>
      <c r="D1041" s="9" t="s">
        <v>60</v>
      </c>
      <c r="E1041" s="8" t="s">
        <v>61</v>
      </c>
      <c r="F1041" s="9">
        <v>1</v>
      </c>
      <c r="G1041" s="31">
        <v>6</v>
      </c>
    </row>
    <row r="1042" spans="1:7" x14ac:dyDescent="0.3">
      <c r="A1042" t="s">
        <v>24</v>
      </c>
      <c r="B1042" s="1">
        <v>0.3</v>
      </c>
      <c r="D1042" s="9" t="s">
        <v>25</v>
      </c>
      <c r="E1042" s="8" t="s">
        <v>26</v>
      </c>
      <c r="F1042" s="9">
        <v>0.3</v>
      </c>
      <c r="G1042" s="31">
        <v>0</v>
      </c>
    </row>
    <row r="1043" spans="1:7" x14ac:dyDescent="0.3">
      <c r="A1043" t="s">
        <v>71</v>
      </c>
      <c r="B1043" s="1">
        <v>0.1</v>
      </c>
      <c r="D1043" s="9" t="s">
        <v>72</v>
      </c>
      <c r="E1043" s="8" t="s">
        <v>73</v>
      </c>
      <c r="F1043" s="9">
        <v>0.1</v>
      </c>
      <c r="G1043" s="31">
        <v>270</v>
      </c>
    </row>
    <row r="1044" spans="1:7" x14ac:dyDescent="0.3">
      <c r="A1044" s="3" t="s">
        <v>10</v>
      </c>
      <c r="B1044" s="1">
        <v>223.4</v>
      </c>
      <c r="E1044" s="10" t="s">
        <v>11</v>
      </c>
      <c r="F1044" s="12">
        <f>SUM(F1033:F1043)</f>
        <v>223.4</v>
      </c>
      <c r="G1044" s="84">
        <f>(G1039*$F1039+G1040*$F1040+G1041*$F1041+G1042*$F1042+G1043*$F1043+$F1037*G1037+$F1038*G1038+$F1036*G1036+$F1035*G1035+$F1034*G1034+$F1033*G1033)/$F1044</f>
        <v>114.29274843330349</v>
      </c>
    </row>
    <row r="1045" spans="1:7" x14ac:dyDescent="0.3">
      <c r="A1045" s="3" t="s">
        <v>12</v>
      </c>
      <c r="B1045" s="1" t="s">
        <v>13</v>
      </c>
      <c r="E1045" s="14"/>
      <c r="F1045" s="15"/>
      <c r="G1045" s="81"/>
    </row>
    <row r="1046" spans="1:7" x14ac:dyDescent="0.3">
      <c r="E1046" s="17"/>
      <c r="F1046" s="1"/>
      <c r="G1046" s="79"/>
    </row>
    <row r="1047" spans="1:7" x14ac:dyDescent="0.3">
      <c r="E1047" s="17"/>
      <c r="F1047" s="1"/>
      <c r="G1047" s="82"/>
    </row>
    <row r="1048" spans="1:7" x14ac:dyDescent="0.3">
      <c r="E1048" s="17"/>
      <c r="F1048" s="1"/>
      <c r="G1048" s="82"/>
    </row>
    <row r="1049" spans="1:7" x14ac:dyDescent="0.3">
      <c r="A1049" s="3" t="s">
        <v>714</v>
      </c>
    </row>
    <row r="1050" spans="1:7" x14ac:dyDescent="0.3">
      <c r="A1050" t="s">
        <v>629</v>
      </c>
      <c r="B1050" s="1">
        <v>30</v>
      </c>
      <c r="D1050" s="9" t="s">
        <v>630</v>
      </c>
      <c r="E1050" s="8" t="s">
        <v>631</v>
      </c>
      <c r="F1050" s="9">
        <v>30</v>
      </c>
      <c r="G1050" s="31">
        <v>110</v>
      </c>
    </row>
    <row r="1051" spans="1:7" x14ac:dyDescent="0.3">
      <c r="A1051" t="s">
        <v>715</v>
      </c>
      <c r="B1051" s="1">
        <v>30</v>
      </c>
      <c r="D1051" s="9" t="s">
        <v>716</v>
      </c>
      <c r="E1051" s="8" t="s">
        <v>717</v>
      </c>
      <c r="F1051" s="9">
        <v>30</v>
      </c>
      <c r="G1051" s="31">
        <v>109</v>
      </c>
    </row>
    <row r="1052" spans="1:7" x14ac:dyDescent="0.3">
      <c r="A1052" t="s">
        <v>718</v>
      </c>
      <c r="B1052" s="1">
        <v>30</v>
      </c>
      <c r="D1052" s="36" t="s">
        <v>659</v>
      </c>
      <c r="E1052" s="87" t="s">
        <v>865</v>
      </c>
      <c r="F1052" s="9">
        <v>30</v>
      </c>
      <c r="G1052" s="17">
        <v>393</v>
      </c>
    </row>
    <row r="1053" spans="1:7" x14ac:dyDescent="0.3">
      <c r="A1053" t="s">
        <v>231</v>
      </c>
      <c r="B1053" s="1">
        <v>10</v>
      </c>
      <c r="D1053" s="9" t="s">
        <v>232</v>
      </c>
      <c r="E1053" s="8" t="s">
        <v>233</v>
      </c>
      <c r="F1053" s="9">
        <v>10</v>
      </c>
      <c r="G1053" s="31">
        <v>661</v>
      </c>
    </row>
    <row r="1054" spans="1:7" x14ac:dyDescent="0.3">
      <c r="A1054" t="s">
        <v>712</v>
      </c>
      <c r="B1054" s="1">
        <v>30</v>
      </c>
      <c r="D1054" s="9" t="s">
        <v>377</v>
      </c>
      <c r="E1054" s="8" t="s">
        <v>845</v>
      </c>
      <c r="F1054" s="9">
        <v>30</v>
      </c>
      <c r="G1054" s="31">
        <v>26</v>
      </c>
    </row>
    <row r="1055" spans="1:7" x14ac:dyDescent="0.3">
      <c r="A1055" t="s">
        <v>126</v>
      </c>
      <c r="B1055" s="1">
        <v>30</v>
      </c>
      <c r="D1055" s="9" t="s">
        <v>127</v>
      </c>
      <c r="E1055" s="8" t="s">
        <v>128</v>
      </c>
      <c r="F1055" s="9">
        <v>30</v>
      </c>
      <c r="G1055" s="31">
        <v>28</v>
      </c>
    </row>
    <row r="1056" spans="1:7" x14ac:dyDescent="0.3">
      <c r="A1056" t="s">
        <v>24</v>
      </c>
      <c r="B1056" s="1">
        <v>0.3</v>
      </c>
      <c r="D1056" s="9" t="s">
        <v>25</v>
      </c>
      <c r="E1056" s="8" t="s">
        <v>26</v>
      </c>
      <c r="F1056" s="9">
        <v>0.3</v>
      </c>
      <c r="G1056" s="31">
        <v>0</v>
      </c>
    </row>
    <row r="1057" spans="1:7" x14ac:dyDescent="0.3">
      <c r="A1057" s="3" t="s">
        <v>10</v>
      </c>
      <c r="B1057" s="1">
        <v>160.30000000000001</v>
      </c>
      <c r="E1057" s="10" t="s">
        <v>11</v>
      </c>
      <c r="F1057" s="12">
        <f>SUM(F1050:F1056)</f>
        <v>160.30000000000001</v>
      </c>
      <c r="G1057" s="84">
        <f>(G1052*$F1052+G1053*$F1053+G1054*$F1054+G1055*$F1055+G1056*$F1056+$F1050*G1050+$F1051*G1051)/$F1057</f>
        <v>165.87648159700561</v>
      </c>
    </row>
    <row r="1058" spans="1:7" x14ac:dyDescent="0.3">
      <c r="A1058" s="3" t="s">
        <v>12</v>
      </c>
      <c r="B1058" s="1" t="s">
        <v>13</v>
      </c>
      <c r="E1058" s="14"/>
      <c r="F1058" s="15"/>
      <c r="G1058" s="81"/>
    </row>
    <row r="1059" spans="1:7" x14ac:dyDescent="0.3">
      <c r="E1059" s="17"/>
      <c r="F1059" s="1"/>
      <c r="G1059" s="79"/>
    </row>
    <row r="1060" spans="1:7" x14ac:dyDescent="0.3">
      <c r="E1060" s="17"/>
      <c r="F1060" s="1"/>
      <c r="G1060" s="82"/>
    </row>
    <row r="1061" spans="1:7" x14ac:dyDescent="0.3">
      <c r="E1061" s="17"/>
      <c r="F1061" s="1"/>
      <c r="G1061" s="82"/>
    </row>
    <row r="1062" spans="1:7" x14ac:dyDescent="0.3">
      <c r="A1062" s="3" t="s">
        <v>719</v>
      </c>
    </row>
    <row r="1063" spans="1:7" x14ac:dyDescent="0.3">
      <c r="A1063" t="s">
        <v>196</v>
      </c>
      <c r="B1063" s="1">
        <v>150</v>
      </c>
      <c r="D1063" s="9" t="s">
        <v>197</v>
      </c>
      <c r="E1063" s="8" t="s">
        <v>198</v>
      </c>
      <c r="F1063" s="9">
        <v>150</v>
      </c>
      <c r="G1063" s="31">
        <v>82</v>
      </c>
    </row>
    <row r="1064" spans="1:7" x14ac:dyDescent="0.3">
      <c r="A1064" t="s">
        <v>44</v>
      </c>
      <c r="B1064" s="1">
        <v>10</v>
      </c>
      <c r="D1064" s="9" t="s">
        <v>45</v>
      </c>
      <c r="E1064" s="8" t="s">
        <v>46</v>
      </c>
      <c r="F1064" s="9">
        <v>10</v>
      </c>
      <c r="G1064" s="31">
        <v>899</v>
      </c>
    </row>
    <row r="1065" spans="1:7" x14ac:dyDescent="0.3">
      <c r="A1065" t="s">
        <v>24</v>
      </c>
      <c r="B1065" s="1">
        <v>0.3</v>
      </c>
      <c r="D1065" s="9" t="s">
        <v>25</v>
      </c>
      <c r="E1065" s="8" t="s">
        <v>26</v>
      </c>
      <c r="F1065" s="9">
        <v>0.3</v>
      </c>
      <c r="G1065" s="31">
        <v>0</v>
      </c>
    </row>
    <row r="1066" spans="1:7" x14ac:dyDescent="0.3">
      <c r="A1066" s="3" t="s">
        <v>10</v>
      </c>
      <c r="B1066" s="1">
        <v>160.30000000000001</v>
      </c>
      <c r="E1066" s="10" t="s">
        <v>11</v>
      </c>
      <c r="F1066" s="12">
        <f>SUM(F1063:F1065)</f>
        <v>160.30000000000001</v>
      </c>
      <c r="G1066" s="84">
        <f>(G1063*$F1063+G1064*$F1064+G1065*$F1065)/$F1066</f>
        <v>132.8134747348721</v>
      </c>
    </row>
    <row r="1067" spans="1:7" x14ac:dyDescent="0.3">
      <c r="A1067" s="3" t="s">
        <v>12</v>
      </c>
      <c r="B1067" s="1" t="s">
        <v>13</v>
      </c>
      <c r="E1067" s="14"/>
      <c r="F1067" s="15"/>
      <c r="G1067" s="81"/>
    </row>
    <row r="1068" spans="1:7" x14ac:dyDescent="0.3">
      <c r="E1068" s="17"/>
      <c r="F1068" s="1"/>
      <c r="G1068" s="79"/>
    </row>
    <row r="1069" spans="1:7" x14ac:dyDescent="0.3">
      <c r="E1069" s="17"/>
      <c r="F1069" s="1"/>
      <c r="G1069" s="82"/>
    </row>
    <row r="1070" spans="1:7" x14ac:dyDescent="0.3">
      <c r="A1070" s="3" t="s">
        <v>720</v>
      </c>
    </row>
    <row r="1071" spans="1:7" x14ac:dyDescent="0.3">
      <c r="A1071" t="s">
        <v>196</v>
      </c>
      <c r="B1071" s="1">
        <v>150</v>
      </c>
      <c r="D1071" s="9" t="s">
        <v>197</v>
      </c>
      <c r="E1071" s="8" t="s">
        <v>198</v>
      </c>
      <c r="F1071" s="9">
        <v>150</v>
      </c>
      <c r="G1071" s="31">
        <v>82</v>
      </c>
    </row>
    <row r="1072" spans="1:7" x14ac:dyDescent="0.3">
      <c r="A1072" t="s">
        <v>44</v>
      </c>
      <c r="B1072" s="1">
        <v>10</v>
      </c>
      <c r="D1072" s="9" t="s">
        <v>45</v>
      </c>
      <c r="E1072" s="8" t="s">
        <v>46</v>
      </c>
      <c r="F1072" s="9">
        <v>10</v>
      </c>
      <c r="G1072" s="31">
        <v>899</v>
      </c>
    </row>
    <row r="1073" spans="1:7" x14ac:dyDescent="0.3">
      <c r="A1073" t="s">
        <v>24</v>
      </c>
      <c r="B1073" s="1">
        <v>0.3</v>
      </c>
      <c r="D1073" s="9" t="s">
        <v>25</v>
      </c>
      <c r="E1073" s="8" t="s">
        <v>26</v>
      </c>
      <c r="F1073" s="9">
        <v>0.3</v>
      </c>
      <c r="G1073" s="31">
        <v>0</v>
      </c>
    </row>
    <row r="1074" spans="1:7" x14ac:dyDescent="0.3">
      <c r="A1074" t="s">
        <v>71</v>
      </c>
      <c r="B1074" s="1">
        <v>0.1</v>
      </c>
      <c r="D1074" s="9" t="s">
        <v>72</v>
      </c>
      <c r="E1074" s="8" t="s">
        <v>73</v>
      </c>
      <c r="F1074" s="9">
        <v>0.1</v>
      </c>
      <c r="G1074" s="31">
        <v>270</v>
      </c>
    </row>
    <row r="1075" spans="1:7" x14ac:dyDescent="0.3">
      <c r="A1075" t="s">
        <v>98</v>
      </c>
      <c r="B1075" s="1">
        <v>2</v>
      </c>
      <c r="D1075" s="9" t="s">
        <v>99</v>
      </c>
      <c r="E1075" s="8" t="s">
        <v>100</v>
      </c>
      <c r="F1075" s="9">
        <v>2</v>
      </c>
      <c r="G1075" s="31">
        <v>88</v>
      </c>
    </row>
    <row r="1076" spans="1:7" x14ac:dyDescent="0.3">
      <c r="A1076" s="3" t="s">
        <v>10</v>
      </c>
      <c r="B1076" s="1">
        <v>162.4</v>
      </c>
      <c r="E1076" s="10" t="s">
        <v>11</v>
      </c>
      <c r="F1076" s="12">
        <f>SUM(F1071:F1075)</f>
        <v>162.4</v>
      </c>
      <c r="G1076" s="84">
        <f>(G1071*$F1071+G1072*$F1072+G1073*$F1073+G1074*$F1074+G1075*$F1075)/$F1076</f>
        <v>132.3460591133005</v>
      </c>
    </row>
    <row r="1077" spans="1:7" x14ac:dyDescent="0.3">
      <c r="A1077" s="3" t="s">
        <v>12</v>
      </c>
      <c r="B1077" s="1" t="s">
        <v>13</v>
      </c>
      <c r="E1077" s="14"/>
      <c r="F1077" s="15"/>
      <c r="G1077" s="81"/>
    </row>
    <row r="1078" spans="1:7" x14ac:dyDescent="0.3">
      <c r="E1078" s="17"/>
      <c r="F1078" s="1"/>
      <c r="G1078" s="79"/>
    </row>
    <row r="1079" spans="1:7" x14ac:dyDescent="0.3">
      <c r="E1079" s="17"/>
      <c r="F1079" s="1"/>
      <c r="G1079" s="82"/>
    </row>
    <row r="1080" spans="1:7" x14ac:dyDescent="0.3">
      <c r="A1080" s="3" t="s">
        <v>721</v>
      </c>
    </row>
    <row r="1081" spans="1:7" x14ac:dyDescent="0.3">
      <c r="A1081" t="s">
        <v>432</v>
      </c>
      <c r="B1081" s="1">
        <v>200</v>
      </c>
      <c r="D1081" s="9" t="s">
        <v>433</v>
      </c>
      <c r="E1081" s="8" t="s">
        <v>434</v>
      </c>
      <c r="F1081" s="9">
        <v>200</v>
      </c>
      <c r="G1081" s="31">
        <v>35</v>
      </c>
    </row>
    <row r="1082" spans="1:7" x14ac:dyDescent="0.3">
      <c r="A1082" t="s">
        <v>44</v>
      </c>
      <c r="B1082" s="1">
        <v>10</v>
      </c>
      <c r="D1082" s="9" t="s">
        <v>45</v>
      </c>
      <c r="E1082" s="8" t="s">
        <v>46</v>
      </c>
      <c r="F1082" s="9">
        <v>10</v>
      </c>
      <c r="G1082" s="31">
        <v>899</v>
      </c>
    </row>
    <row r="1083" spans="1:7" x14ac:dyDescent="0.3">
      <c r="A1083" t="s">
        <v>24</v>
      </c>
      <c r="B1083" s="1">
        <v>0.3</v>
      </c>
      <c r="D1083" s="9" t="s">
        <v>25</v>
      </c>
      <c r="E1083" s="8" t="s">
        <v>26</v>
      </c>
      <c r="F1083" s="9">
        <v>0.3</v>
      </c>
      <c r="G1083" s="31">
        <v>0</v>
      </c>
    </row>
    <row r="1084" spans="1:7" x14ac:dyDescent="0.3">
      <c r="A1084" s="3" t="s">
        <v>10</v>
      </c>
      <c r="B1084" s="1">
        <v>210.3</v>
      </c>
      <c r="E1084" s="10" t="s">
        <v>11</v>
      </c>
      <c r="F1084" s="12">
        <f>SUM(F1081:F1083)</f>
        <v>210.3</v>
      </c>
      <c r="G1084" s="84">
        <f>(G1081*$F1081+G1082*$F1082+G1083*$F1083)/$F1084</f>
        <v>76.034236804564898</v>
      </c>
    </row>
    <row r="1085" spans="1:7" x14ac:dyDescent="0.3">
      <c r="A1085" s="3" t="s">
        <v>12</v>
      </c>
      <c r="B1085" s="1" t="s">
        <v>13</v>
      </c>
      <c r="E1085" s="14"/>
      <c r="F1085" s="15"/>
      <c r="G1085" s="81"/>
    </row>
    <row r="1086" spans="1:7" x14ac:dyDescent="0.3">
      <c r="E1086" s="17"/>
      <c r="F1086" s="1"/>
      <c r="G1086" s="79"/>
    </row>
    <row r="1087" spans="1:7" x14ac:dyDescent="0.3">
      <c r="E1087" s="17"/>
      <c r="F1087" s="1"/>
      <c r="G1087" s="82"/>
    </row>
    <row r="1088" spans="1:7" x14ac:dyDescent="0.3">
      <c r="A1088" s="3" t="s">
        <v>722</v>
      </c>
    </row>
    <row r="1089" spans="1:7" x14ac:dyDescent="0.3">
      <c r="A1089" t="s">
        <v>262</v>
      </c>
      <c r="B1089" s="1">
        <v>200</v>
      </c>
      <c r="D1089" s="9" t="s">
        <v>263</v>
      </c>
      <c r="E1089" s="8" t="s">
        <v>264</v>
      </c>
      <c r="F1089" s="9">
        <v>200</v>
      </c>
      <c r="G1089" s="31">
        <v>5</v>
      </c>
    </row>
    <row r="1090" spans="1:7" x14ac:dyDescent="0.3">
      <c r="A1090" t="s">
        <v>258</v>
      </c>
      <c r="B1090" s="1">
        <v>50</v>
      </c>
      <c r="D1090" s="9" t="s">
        <v>259</v>
      </c>
      <c r="E1090" s="8" t="s">
        <v>260</v>
      </c>
      <c r="F1090" s="9">
        <v>50</v>
      </c>
      <c r="G1090" s="31">
        <v>128</v>
      </c>
    </row>
    <row r="1091" spans="1:7" x14ac:dyDescent="0.3">
      <c r="A1091" t="s">
        <v>139</v>
      </c>
      <c r="B1091" s="1">
        <v>15</v>
      </c>
      <c r="D1091" s="9" t="s">
        <v>140</v>
      </c>
      <c r="E1091" s="8" t="s">
        <v>141</v>
      </c>
      <c r="F1091" s="9">
        <v>15</v>
      </c>
      <c r="G1091" s="31">
        <v>387</v>
      </c>
    </row>
    <row r="1092" spans="1:7" x14ac:dyDescent="0.3">
      <c r="A1092" t="s">
        <v>74</v>
      </c>
      <c r="B1092" s="1">
        <v>1</v>
      </c>
      <c r="D1092" s="9" t="s">
        <v>75</v>
      </c>
      <c r="E1092" s="8" t="s">
        <v>76</v>
      </c>
      <c r="F1092" s="9">
        <v>1</v>
      </c>
      <c r="G1092" s="31">
        <v>442</v>
      </c>
    </row>
    <row r="1093" spans="1:7" x14ac:dyDescent="0.3">
      <c r="A1093" s="3" t="s">
        <v>10</v>
      </c>
      <c r="B1093" s="1">
        <v>266</v>
      </c>
      <c r="E1093" s="10" t="s">
        <v>11</v>
      </c>
      <c r="F1093" s="12">
        <f>SUM(F1089:F1092)</f>
        <v>266</v>
      </c>
      <c r="G1093" s="84">
        <f>(G1089*$F1089+G1090*$F1090+G1091*$F1091+G1092*$F1092)/$F1093</f>
        <v>51.304511278195491</v>
      </c>
    </row>
    <row r="1094" spans="1:7" x14ac:dyDescent="0.3">
      <c r="A1094" s="3" t="s">
        <v>12</v>
      </c>
      <c r="B1094" s="1" t="s">
        <v>13</v>
      </c>
      <c r="E1094" s="14"/>
      <c r="F1094" s="15"/>
      <c r="G1094" s="81"/>
    </row>
    <row r="1095" spans="1:7" x14ac:dyDescent="0.3">
      <c r="E1095" s="17"/>
      <c r="F1095" s="1"/>
      <c r="G1095" s="79"/>
    </row>
    <row r="1096" spans="1:7" x14ac:dyDescent="0.3">
      <c r="E1096" s="17"/>
      <c r="F1096" s="1"/>
      <c r="G1096" s="82"/>
    </row>
    <row r="1097" spans="1:7" x14ac:dyDescent="0.3">
      <c r="A1097" s="3" t="s">
        <v>723</v>
      </c>
    </row>
    <row r="1098" spans="1:7" x14ac:dyDescent="0.3">
      <c r="A1098" t="s">
        <v>66</v>
      </c>
      <c r="B1098" s="1">
        <v>21</v>
      </c>
      <c r="D1098" s="9" t="s">
        <v>67</v>
      </c>
      <c r="E1098" s="8" t="s">
        <v>68</v>
      </c>
      <c r="F1098" s="9">
        <v>21</v>
      </c>
      <c r="G1098" s="31">
        <v>323</v>
      </c>
    </row>
    <row r="1099" spans="1:7" x14ac:dyDescent="0.3">
      <c r="A1099" t="s">
        <v>56</v>
      </c>
      <c r="B1099" s="1">
        <v>13</v>
      </c>
      <c r="D1099" s="9" t="s">
        <v>57</v>
      </c>
      <c r="E1099" s="8" t="s">
        <v>58</v>
      </c>
      <c r="F1099" s="9">
        <v>13</v>
      </c>
      <c r="G1099" s="31">
        <v>392</v>
      </c>
    </row>
    <row r="1100" spans="1:7" x14ac:dyDescent="0.3">
      <c r="A1100" t="s">
        <v>258</v>
      </c>
      <c r="B1100" s="1">
        <v>4</v>
      </c>
      <c r="D1100" s="9" t="s">
        <v>259</v>
      </c>
      <c r="E1100" s="8" t="s">
        <v>260</v>
      </c>
      <c r="F1100" s="9">
        <v>4</v>
      </c>
      <c r="G1100" s="31">
        <v>128</v>
      </c>
    </row>
    <row r="1101" spans="1:7" x14ac:dyDescent="0.3">
      <c r="A1101" t="s">
        <v>63</v>
      </c>
      <c r="B1101" s="1">
        <v>5</v>
      </c>
      <c r="D1101" s="9" t="s">
        <v>64</v>
      </c>
      <c r="E1101" s="8" t="s">
        <v>65</v>
      </c>
      <c r="F1101" s="9">
        <v>5</v>
      </c>
      <c r="G1101" s="31">
        <v>758</v>
      </c>
    </row>
    <row r="1102" spans="1:7" x14ac:dyDescent="0.3">
      <c r="A1102" t="s">
        <v>850</v>
      </c>
      <c r="B1102" s="1">
        <v>7</v>
      </c>
      <c r="D1102" s="9" t="s">
        <v>70</v>
      </c>
      <c r="E1102" s="8" t="s">
        <v>850</v>
      </c>
      <c r="F1102" s="9">
        <v>7</v>
      </c>
      <c r="G1102" s="31">
        <v>64</v>
      </c>
    </row>
    <row r="1103" spans="1:7" x14ac:dyDescent="0.3">
      <c r="A1103" t="s">
        <v>480</v>
      </c>
      <c r="B1103" s="1">
        <v>35</v>
      </c>
      <c r="D1103" s="9" t="s">
        <v>481</v>
      </c>
      <c r="E1103" s="8" t="s">
        <v>482</v>
      </c>
      <c r="F1103" s="9">
        <v>35</v>
      </c>
      <c r="G1103" s="31">
        <v>44</v>
      </c>
    </row>
    <row r="1104" spans="1:7" x14ac:dyDescent="0.3">
      <c r="A1104" t="s">
        <v>848</v>
      </c>
      <c r="B1104" s="1">
        <v>3</v>
      </c>
      <c r="D1104" s="9" t="s">
        <v>257</v>
      </c>
      <c r="E1104" s="8" t="s">
        <v>848</v>
      </c>
      <c r="F1104" s="9">
        <v>3</v>
      </c>
      <c r="G1104" s="31">
        <v>357</v>
      </c>
    </row>
    <row r="1105" spans="1:7" x14ac:dyDescent="0.3">
      <c r="A1105" t="s">
        <v>843</v>
      </c>
      <c r="B1105" s="1">
        <v>4</v>
      </c>
      <c r="D1105" s="9" t="s">
        <v>557</v>
      </c>
      <c r="E1105" s="8" t="s">
        <v>843</v>
      </c>
      <c r="F1105" s="9">
        <v>4</v>
      </c>
      <c r="G1105" s="31">
        <v>293</v>
      </c>
    </row>
    <row r="1106" spans="1:7" x14ac:dyDescent="0.3">
      <c r="A1106" t="s">
        <v>724</v>
      </c>
      <c r="B1106" s="1">
        <v>0.5</v>
      </c>
      <c r="D1106" s="9" t="s">
        <v>725</v>
      </c>
      <c r="E1106" s="8" t="s">
        <v>726</v>
      </c>
      <c r="F1106" s="9">
        <v>0.5</v>
      </c>
      <c r="G1106" s="31">
        <v>50</v>
      </c>
    </row>
    <row r="1107" spans="1:7" x14ac:dyDescent="0.3">
      <c r="A1107" t="s">
        <v>132</v>
      </c>
      <c r="B1107" s="1">
        <v>0.5</v>
      </c>
      <c r="D1107" s="9" t="s">
        <v>133</v>
      </c>
      <c r="E1107" s="8" t="s">
        <v>134</v>
      </c>
      <c r="F1107" s="9">
        <v>0.5</v>
      </c>
      <c r="G1107" s="31">
        <v>301</v>
      </c>
    </row>
    <row r="1108" spans="1:7" x14ac:dyDescent="0.3">
      <c r="A1108" t="s">
        <v>558</v>
      </c>
      <c r="B1108" s="1">
        <v>7</v>
      </c>
      <c r="D1108" s="9" t="s">
        <v>355</v>
      </c>
      <c r="E1108" s="8" t="s">
        <v>356</v>
      </c>
      <c r="F1108" s="9">
        <v>7</v>
      </c>
      <c r="G1108" s="31">
        <v>604</v>
      </c>
    </row>
    <row r="1109" spans="1:7" x14ac:dyDescent="0.3">
      <c r="A1109" s="3" t="s">
        <v>10</v>
      </c>
      <c r="B1109" s="1">
        <v>100</v>
      </c>
      <c r="E1109" s="10" t="s">
        <v>11</v>
      </c>
      <c r="F1109" s="12">
        <f>SUM(F1098:F1108)</f>
        <v>100</v>
      </c>
      <c r="G1109" s="84">
        <f>(G1104*$F1104+G1105*$F1105+G1106*$F1106+G1107*$F1107+G1108*$F1108+$F1102*G1102+$F1103*G1103+$F1101*G1101+$F1100*G1100+$F1099*G1099+$F1098*G1098)/$F1109</f>
        <v>248.155</v>
      </c>
    </row>
    <row r="1110" spans="1:7" x14ac:dyDescent="0.3">
      <c r="A1110" s="3" t="s">
        <v>12</v>
      </c>
      <c r="B1110" s="1" t="s">
        <v>13</v>
      </c>
      <c r="E1110" s="14"/>
      <c r="F1110" s="15"/>
      <c r="G1110" s="81"/>
    </row>
    <row r="1111" spans="1:7" x14ac:dyDescent="0.3">
      <c r="E1111" s="17"/>
      <c r="F1111" s="1"/>
      <c r="G1111" s="79"/>
    </row>
    <row r="1112" spans="1:7" x14ac:dyDescent="0.3">
      <c r="E1112" s="17"/>
      <c r="F1112" s="1"/>
      <c r="G1112" s="82"/>
    </row>
    <row r="1113" spans="1:7" x14ac:dyDescent="0.3">
      <c r="E1113" s="17"/>
      <c r="F1113" s="1"/>
      <c r="G1113" s="82"/>
    </row>
    <row r="1114" spans="1:7" x14ac:dyDescent="0.3">
      <c r="A1114" s="3" t="s">
        <v>727</v>
      </c>
    </row>
    <row r="1115" spans="1:7" x14ac:dyDescent="0.3">
      <c r="A1115" t="s">
        <v>104</v>
      </c>
      <c r="B1115" s="1">
        <v>100</v>
      </c>
      <c r="D1115" s="9" t="s">
        <v>83</v>
      </c>
      <c r="E1115" s="8" t="s">
        <v>84</v>
      </c>
      <c r="F1115" s="9">
        <v>100</v>
      </c>
      <c r="G1115" s="31">
        <v>108</v>
      </c>
    </row>
    <row r="1116" spans="1:7" x14ac:dyDescent="0.3">
      <c r="A1116" t="s">
        <v>24</v>
      </c>
      <c r="B1116" s="1">
        <v>0.3</v>
      </c>
      <c r="D1116" s="9" t="s">
        <v>25</v>
      </c>
      <c r="E1116" s="8" t="s">
        <v>26</v>
      </c>
      <c r="F1116" s="9">
        <v>0.3</v>
      </c>
      <c r="G1116" s="31">
        <v>0</v>
      </c>
    </row>
    <row r="1117" spans="1:7" x14ac:dyDescent="0.3">
      <c r="A1117" t="s">
        <v>71</v>
      </c>
      <c r="B1117" s="1">
        <v>0.1</v>
      </c>
      <c r="D1117" s="9" t="s">
        <v>72</v>
      </c>
      <c r="E1117" s="8" t="s">
        <v>73</v>
      </c>
      <c r="F1117" s="9">
        <v>0.1</v>
      </c>
      <c r="G1117" s="31">
        <v>270</v>
      </c>
    </row>
    <row r="1118" spans="1:7" x14ac:dyDescent="0.3">
      <c r="A1118" s="3" t="s">
        <v>10</v>
      </c>
      <c r="B1118" s="1">
        <v>100.4</v>
      </c>
      <c r="E1118" s="10" t="s">
        <v>11</v>
      </c>
      <c r="F1118" s="12">
        <f>SUM(F1115:F1117)</f>
        <v>100.39999999999999</v>
      </c>
      <c r="G1118" s="84">
        <f>(G1115*$F1115+G1116*$F1116+G1117*$F1117)/$F1118</f>
        <v>107.83864541832671</v>
      </c>
    </row>
    <row r="1119" spans="1:7" x14ac:dyDescent="0.3">
      <c r="A1119" s="3" t="s">
        <v>12</v>
      </c>
      <c r="B1119" s="1" t="s">
        <v>13</v>
      </c>
      <c r="E1119" s="14"/>
      <c r="F1119" s="15"/>
      <c r="G1119" s="81"/>
    </row>
    <row r="1120" spans="1:7" x14ac:dyDescent="0.3">
      <c r="E1120" s="17"/>
      <c r="F1120" s="1"/>
      <c r="G1120" s="79"/>
    </row>
    <row r="1121" spans="1:7" x14ac:dyDescent="0.3">
      <c r="E1121" s="17"/>
      <c r="F1121" s="1"/>
      <c r="G1121" s="82"/>
    </row>
    <row r="1122" spans="1:7" x14ac:dyDescent="0.3">
      <c r="E1122" s="17"/>
      <c r="F1122" s="1"/>
      <c r="G1122" s="82"/>
    </row>
    <row r="1123" spans="1:7" x14ac:dyDescent="0.3">
      <c r="A1123" s="3" t="s">
        <v>728</v>
      </c>
    </row>
    <row r="1124" spans="1:7" x14ac:dyDescent="0.3">
      <c r="A1124" t="s">
        <v>440</v>
      </c>
      <c r="B1124" s="1">
        <v>80</v>
      </c>
      <c r="D1124" s="9" t="s">
        <v>441</v>
      </c>
      <c r="E1124" s="8" t="s">
        <v>442</v>
      </c>
      <c r="F1124" s="9">
        <v>80</v>
      </c>
      <c r="G1124" s="31">
        <v>346</v>
      </c>
    </row>
    <row r="1125" spans="1:7" x14ac:dyDescent="0.3">
      <c r="A1125" t="s">
        <v>359</v>
      </c>
      <c r="B1125" s="1">
        <v>50</v>
      </c>
      <c r="D1125" s="9" t="s">
        <v>360</v>
      </c>
      <c r="E1125" s="8" t="s">
        <v>361</v>
      </c>
      <c r="F1125" s="9">
        <v>50</v>
      </c>
      <c r="G1125" s="31">
        <v>155</v>
      </c>
    </row>
    <row r="1126" spans="1:7" x14ac:dyDescent="0.3">
      <c r="A1126" t="s">
        <v>123</v>
      </c>
      <c r="B1126" s="1">
        <v>15</v>
      </c>
      <c r="D1126" s="9" t="s">
        <v>124</v>
      </c>
      <c r="E1126" s="8" t="s">
        <v>125</v>
      </c>
      <c r="F1126" s="9">
        <v>15</v>
      </c>
      <c r="G1126" s="31">
        <v>39</v>
      </c>
    </row>
    <row r="1127" spans="1:7" x14ac:dyDescent="0.3">
      <c r="A1127" t="s">
        <v>126</v>
      </c>
      <c r="B1127" s="1">
        <v>15</v>
      </c>
      <c r="D1127" s="9" t="s">
        <v>127</v>
      </c>
      <c r="E1127" s="8" t="s">
        <v>128</v>
      </c>
      <c r="F1127" s="9">
        <v>15</v>
      </c>
      <c r="G1127" s="31">
        <v>28</v>
      </c>
    </row>
    <row r="1128" spans="1:7" x14ac:dyDescent="0.3">
      <c r="A1128" t="s">
        <v>129</v>
      </c>
      <c r="B1128" s="1">
        <v>15</v>
      </c>
      <c r="D1128" s="9" t="s">
        <v>130</v>
      </c>
      <c r="E1128" s="8" t="s">
        <v>131</v>
      </c>
      <c r="F1128" s="9">
        <v>15</v>
      </c>
      <c r="G1128" s="31">
        <v>23</v>
      </c>
    </row>
    <row r="1129" spans="1:7" x14ac:dyDescent="0.3">
      <c r="A1129" t="s">
        <v>44</v>
      </c>
      <c r="B1129" s="1">
        <v>10</v>
      </c>
      <c r="D1129" s="9" t="s">
        <v>45</v>
      </c>
      <c r="E1129" s="8" t="s">
        <v>46</v>
      </c>
      <c r="F1129" s="9">
        <v>10</v>
      </c>
      <c r="G1129" s="31">
        <v>899</v>
      </c>
    </row>
    <row r="1130" spans="1:7" x14ac:dyDescent="0.3">
      <c r="A1130" t="s">
        <v>825</v>
      </c>
      <c r="B1130" s="1">
        <v>60</v>
      </c>
      <c r="D1130" s="65" t="s">
        <v>213</v>
      </c>
      <c r="E1130" s="8" t="s">
        <v>825</v>
      </c>
      <c r="F1130" s="9">
        <v>60</v>
      </c>
      <c r="G1130" s="83">
        <v>100</v>
      </c>
    </row>
    <row r="1131" spans="1:7" x14ac:dyDescent="0.3">
      <c r="A1131" t="s">
        <v>139</v>
      </c>
      <c r="B1131" s="1">
        <v>5</v>
      </c>
      <c r="D1131" s="9" t="s">
        <v>140</v>
      </c>
      <c r="E1131" s="8" t="s">
        <v>141</v>
      </c>
      <c r="F1131" s="9">
        <v>5</v>
      </c>
      <c r="G1131" s="31">
        <v>387</v>
      </c>
    </row>
    <row r="1132" spans="1:7" x14ac:dyDescent="0.3">
      <c r="A1132" t="s">
        <v>71</v>
      </c>
      <c r="B1132" s="1">
        <v>0.1</v>
      </c>
      <c r="D1132" s="9" t="s">
        <v>72</v>
      </c>
      <c r="E1132" s="8" t="s">
        <v>73</v>
      </c>
      <c r="F1132" s="9">
        <v>0.1</v>
      </c>
      <c r="G1132" s="31">
        <v>270</v>
      </c>
    </row>
    <row r="1133" spans="1:7" x14ac:dyDescent="0.3">
      <c r="A1133" t="s">
        <v>24</v>
      </c>
      <c r="B1133" s="1">
        <v>0.3</v>
      </c>
      <c r="D1133" s="9" t="s">
        <v>25</v>
      </c>
      <c r="E1133" s="8" t="s">
        <v>26</v>
      </c>
      <c r="F1133" s="9">
        <v>0.3</v>
      </c>
      <c r="G1133" s="31">
        <v>0</v>
      </c>
    </row>
    <row r="1134" spans="1:7" x14ac:dyDescent="0.3">
      <c r="A1134" s="3" t="s">
        <v>10</v>
      </c>
      <c r="B1134" s="1">
        <v>250.4</v>
      </c>
      <c r="E1134" s="10" t="s">
        <v>11</v>
      </c>
      <c r="F1134" s="12">
        <f>SUM(F1124:F1133)</f>
        <v>250.4</v>
      </c>
      <c r="G1134" s="84">
        <f>(G1129*$F1129+G1130*$F1130+G1131*$F1131+G1132*$F1132+G1133*$F1133+$F1127*G1127+$F1128*G1128+$F1126*G1126+$F1125*G1125+$F1124*G1124)/$F1134</f>
        <v>214.5846645367412</v>
      </c>
    </row>
    <row r="1135" spans="1:7" x14ac:dyDescent="0.3">
      <c r="A1135" s="3" t="s">
        <v>12</v>
      </c>
      <c r="B1135" s="1" t="s">
        <v>13</v>
      </c>
      <c r="E1135" s="14"/>
      <c r="F1135" s="15"/>
      <c r="G1135" s="81"/>
    </row>
    <row r="1136" spans="1:7" x14ac:dyDescent="0.3">
      <c r="E1136" s="17"/>
      <c r="F1136" s="1"/>
      <c r="G1136" s="79"/>
    </row>
    <row r="1137" spans="1:7" x14ac:dyDescent="0.3">
      <c r="E1137" s="17"/>
      <c r="F1137" s="1"/>
      <c r="G1137" s="82"/>
    </row>
    <row r="1138" spans="1:7" x14ac:dyDescent="0.3">
      <c r="E1138" s="17"/>
      <c r="F1138" s="1"/>
      <c r="G1138" s="82"/>
    </row>
    <row r="1139" spans="1:7" x14ac:dyDescent="0.3">
      <c r="A1139" s="3" t="s">
        <v>729</v>
      </c>
    </row>
    <row r="1140" spans="1:7" x14ac:dyDescent="0.3">
      <c r="A1140" t="s">
        <v>838</v>
      </c>
      <c r="B1140" s="1">
        <v>80</v>
      </c>
      <c r="D1140" s="9" t="s">
        <v>495</v>
      </c>
      <c r="E1140" s="8" t="s">
        <v>838</v>
      </c>
      <c r="F1140" s="9">
        <v>80</v>
      </c>
      <c r="G1140" s="31">
        <v>341</v>
      </c>
    </row>
    <row r="1141" spans="1:7" x14ac:dyDescent="0.3">
      <c r="A1141" t="s">
        <v>541</v>
      </c>
      <c r="B1141" s="1">
        <v>40</v>
      </c>
      <c r="D1141" s="9" t="s">
        <v>542</v>
      </c>
      <c r="E1141" s="8" t="s">
        <v>543</v>
      </c>
      <c r="F1141" s="9">
        <v>40</v>
      </c>
      <c r="G1141" s="31">
        <v>392</v>
      </c>
    </row>
    <row r="1142" spans="1:7" x14ac:dyDescent="0.3">
      <c r="A1142" t="s">
        <v>71</v>
      </c>
      <c r="B1142" s="1">
        <v>0.5</v>
      </c>
      <c r="D1142" s="9" t="s">
        <v>72</v>
      </c>
      <c r="E1142" s="8" t="s">
        <v>73</v>
      </c>
      <c r="F1142" s="9">
        <v>0.5</v>
      </c>
      <c r="G1142" s="31">
        <v>270</v>
      </c>
    </row>
    <row r="1143" spans="1:7" x14ac:dyDescent="0.3">
      <c r="A1143" s="3" t="s">
        <v>10</v>
      </c>
      <c r="B1143" s="1">
        <v>120.5</v>
      </c>
      <c r="E1143" s="10" t="s">
        <v>11</v>
      </c>
      <c r="F1143" s="12">
        <f>SUM(F1140:F1142)</f>
        <v>120.5</v>
      </c>
      <c r="G1143" s="84">
        <f>(G1140*$F1140+G1141*$F1141+G1142*$F1142)/$F1143</f>
        <v>357.63485477178421</v>
      </c>
    </row>
    <row r="1144" spans="1:7" x14ac:dyDescent="0.3">
      <c r="A1144" s="3" t="s">
        <v>12</v>
      </c>
      <c r="B1144" s="1" t="s">
        <v>13</v>
      </c>
      <c r="E1144" s="14"/>
      <c r="F1144" s="15"/>
      <c r="G1144" s="81"/>
    </row>
    <row r="1145" spans="1:7" x14ac:dyDescent="0.3">
      <c r="E1145" s="17"/>
      <c r="F1145" s="1"/>
      <c r="G1145" s="79"/>
    </row>
    <row r="1146" spans="1:7" x14ac:dyDescent="0.3">
      <c r="E1146" s="17"/>
      <c r="F1146" s="1"/>
      <c r="G1146" s="82"/>
    </row>
    <row r="1147" spans="1:7" x14ac:dyDescent="0.3">
      <c r="A1147" s="3" t="s">
        <v>730</v>
      </c>
    </row>
    <row r="1148" spans="1:7" x14ac:dyDescent="0.3">
      <c r="A1148" t="s">
        <v>359</v>
      </c>
      <c r="B1148" s="1">
        <v>100</v>
      </c>
      <c r="D1148" s="9" t="s">
        <v>360</v>
      </c>
      <c r="E1148" s="8" t="s">
        <v>361</v>
      </c>
      <c r="F1148" s="9">
        <v>100</v>
      </c>
      <c r="G1148" s="31">
        <v>155</v>
      </c>
    </row>
    <row r="1149" spans="1:7" x14ac:dyDescent="0.3">
      <c r="A1149" t="s">
        <v>21</v>
      </c>
      <c r="B1149" s="1">
        <v>8</v>
      </c>
      <c r="D1149" s="9" t="s">
        <v>22</v>
      </c>
      <c r="E1149" s="8" t="s">
        <v>23</v>
      </c>
      <c r="F1149" s="9">
        <v>8</v>
      </c>
      <c r="G1149" s="31">
        <v>4</v>
      </c>
    </row>
    <row r="1150" spans="1:7" x14ac:dyDescent="0.3">
      <c r="A1150" t="s">
        <v>731</v>
      </c>
      <c r="B1150" s="1">
        <v>8</v>
      </c>
      <c r="D1150" s="65" t="s">
        <v>732</v>
      </c>
      <c r="E1150" s="8" t="s">
        <v>733</v>
      </c>
      <c r="F1150" s="9">
        <v>8</v>
      </c>
      <c r="G1150" s="79">
        <v>124.66666666666667</v>
      </c>
    </row>
    <row r="1151" spans="1:7" x14ac:dyDescent="0.3">
      <c r="A1151" t="s">
        <v>105</v>
      </c>
      <c r="B1151" s="1">
        <v>3</v>
      </c>
      <c r="D1151" s="9" t="s">
        <v>106</v>
      </c>
      <c r="E1151" s="8" t="s">
        <v>107</v>
      </c>
      <c r="F1151" s="9">
        <v>3</v>
      </c>
      <c r="G1151" s="31">
        <v>30</v>
      </c>
    </row>
    <row r="1152" spans="1:7" x14ac:dyDescent="0.3">
      <c r="A1152" t="s">
        <v>126</v>
      </c>
      <c r="B1152" s="1">
        <v>15</v>
      </c>
      <c r="D1152" s="9" t="s">
        <v>127</v>
      </c>
      <c r="E1152" s="8" t="s">
        <v>128</v>
      </c>
      <c r="F1152" s="9">
        <v>15</v>
      </c>
      <c r="G1152" s="31">
        <v>28</v>
      </c>
    </row>
    <row r="1153" spans="1:7" x14ac:dyDescent="0.3">
      <c r="A1153" t="s">
        <v>44</v>
      </c>
      <c r="B1153" s="1">
        <v>10</v>
      </c>
      <c r="D1153" s="9" t="s">
        <v>45</v>
      </c>
      <c r="E1153" s="8" t="s">
        <v>46</v>
      </c>
      <c r="F1153" s="9">
        <v>10</v>
      </c>
      <c r="G1153" s="31">
        <v>899</v>
      </c>
    </row>
    <row r="1154" spans="1:7" x14ac:dyDescent="0.3">
      <c r="A1154" t="s">
        <v>71</v>
      </c>
      <c r="B1154" s="1">
        <v>0.1</v>
      </c>
      <c r="D1154" s="9" t="s">
        <v>72</v>
      </c>
      <c r="E1154" s="8" t="s">
        <v>73</v>
      </c>
      <c r="F1154" s="9">
        <v>0.1</v>
      </c>
      <c r="G1154" s="31">
        <v>270</v>
      </c>
    </row>
    <row r="1155" spans="1:7" x14ac:dyDescent="0.3">
      <c r="A1155" t="s">
        <v>24</v>
      </c>
      <c r="B1155" s="1">
        <v>0.3</v>
      </c>
      <c r="D1155" s="9" t="s">
        <v>25</v>
      </c>
      <c r="E1155" s="8" t="s">
        <v>26</v>
      </c>
      <c r="F1155" s="9">
        <v>0.3</v>
      </c>
      <c r="G1155" s="31">
        <v>0</v>
      </c>
    </row>
    <row r="1156" spans="1:7" x14ac:dyDescent="0.3">
      <c r="A1156" s="3" t="s">
        <v>10</v>
      </c>
      <c r="B1156" s="1">
        <v>144.4</v>
      </c>
      <c r="E1156" s="10" t="s">
        <v>11</v>
      </c>
      <c r="F1156" s="12">
        <f>SUM(F1148:F1155)</f>
        <v>144.4</v>
      </c>
      <c r="G1156" s="84">
        <f>(G1151*$F1151+G1152*$F1152+G1153*$F1153+G1154*$F1154+G1155*$F1155+$F1149*G1149+$F1150*G1150+$F1148*G1148)/$F1156</f>
        <v>180.44552169898432</v>
      </c>
    </row>
    <row r="1157" spans="1:7" x14ac:dyDescent="0.3">
      <c r="A1157" s="3" t="s">
        <v>12</v>
      </c>
      <c r="B1157" s="1" t="s">
        <v>13</v>
      </c>
      <c r="E1157" s="14"/>
      <c r="F1157" s="15"/>
      <c r="G1157" s="81"/>
    </row>
    <row r="1158" spans="1:7" x14ac:dyDescent="0.3">
      <c r="E1158" s="17"/>
      <c r="F1158" s="1"/>
      <c r="G1158" s="79"/>
    </row>
    <row r="1159" spans="1:7" x14ac:dyDescent="0.3">
      <c r="E1159" s="17"/>
      <c r="F1159" s="1"/>
      <c r="G1159" s="82"/>
    </row>
    <row r="1160" spans="1:7" x14ac:dyDescent="0.3">
      <c r="A1160" s="3" t="s">
        <v>734</v>
      </c>
    </row>
    <row r="1161" spans="1:7" x14ac:dyDescent="0.3">
      <c r="A1161" t="s">
        <v>866</v>
      </c>
      <c r="B1161" s="1">
        <v>50</v>
      </c>
      <c r="D1161" s="9" t="s">
        <v>735</v>
      </c>
      <c r="E1161" s="8" t="s">
        <v>866</v>
      </c>
      <c r="F1161" s="9">
        <v>50</v>
      </c>
      <c r="G1161" s="31">
        <v>246</v>
      </c>
    </row>
    <row r="1162" spans="1:7" x14ac:dyDescent="0.3">
      <c r="A1162" t="s">
        <v>411</v>
      </c>
      <c r="B1162" s="1">
        <v>25</v>
      </c>
      <c r="D1162" s="9" t="s">
        <v>412</v>
      </c>
      <c r="E1162" s="8" t="s">
        <v>413</v>
      </c>
      <c r="F1162" s="9">
        <v>25</v>
      </c>
      <c r="G1162" s="31">
        <v>215</v>
      </c>
    </row>
    <row r="1163" spans="1:7" x14ac:dyDescent="0.3">
      <c r="A1163" t="s">
        <v>736</v>
      </c>
      <c r="B1163" s="1">
        <v>25</v>
      </c>
      <c r="D1163" s="9" t="s">
        <v>737</v>
      </c>
      <c r="E1163" s="8" t="s">
        <v>738</v>
      </c>
      <c r="F1163" s="9">
        <v>25</v>
      </c>
      <c r="G1163" s="31">
        <v>330</v>
      </c>
    </row>
    <row r="1164" spans="1:7" x14ac:dyDescent="0.3">
      <c r="A1164" s="3" t="s">
        <v>10</v>
      </c>
      <c r="B1164" s="1">
        <v>100</v>
      </c>
      <c r="E1164" s="10" t="s">
        <v>11</v>
      </c>
      <c r="F1164" s="12">
        <f>SUM(F1161:F1163)</f>
        <v>100</v>
      </c>
      <c r="G1164" s="84">
        <f>(G1161*$F1161+G1162*$F1162+G1163*$F1163)/$F1164</f>
        <v>259.25</v>
      </c>
    </row>
    <row r="1165" spans="1:7" x14ac:dyDescent="0.3">
      <c r="A1165" s="3" t="s">
        <v>12</v>
      </c>
      <c r="B1165" s="1" t="s">
        <v>13</v>
      </c>
      <c r="E1165" s="14"/>
      <c r="F1165" s="15"/>
      <c r="G1165" s="81"/>
    </row>
    <row r="1166" spans="1:7" x14ac:dyDescent="0.3">
      <c r="E1166" s="17"/>
      <c r="F1166" s="1"/>
      <c r="G1166" s="79"/>
    </row>
    <row r="1167" spans="1:7" x14ac:dyDescent="0.3">
      <c r="E1167" s="17"/>
      <c r="F1167" s="1"/>
      <c r="G1167" s="82"/>
    </row>
    <row r="1168" spans="1:7" x14ac:dyDescent="0.3">
      <c r="A1168" s="3" t="s">
        <v>739</v>
      </c>
    </row>
    <row r="1169" spans="1:7" x14ac:dyDescent="0.3">
      <c r="A1169" t="s">
        <v>740</v>
      </c>
      <c r="B1169" s="1">
        <v>150</v>
      </c>
      <c r="D1169" s="9" t="s">
        <v>741</v>
      </c>
      <c r="E1169" s="8" t="s">
        <v>742</v>
      </c>
      <c r="F1169" s="9">
        <v>150</v>
      </c>
      <c r="G1169" s="31">
        <v>159</v>
      </c>
    </row>
    <row r="1170" spans="1:7" x14ac:dyDescent="0.3">
      <c r="A1170" t="s">
        <v>44</v>
      </c>
      <c r="B1170" s="1">
        <v>10</v>
      </c>
      <c r="D1170" s="9" t="s">
        <v>45</v>
      </c>
      <c r="E1170" s="8" t="s">
        <v>46</v>
      </c>
      <c r="F1170" s="9">
        <v>10</v>
      </c>
      <c r="G1170" s="31">
        <v>899</v>
      </c>
    </row>
    <row r="1171" spans="1:7" x14ac:dyDescent="0.3">
      <c r="A1171" t="s">
        <v>24</v>
      </c>
      <c r="B1171" s="1">
        <v>0.3</v>
      </c>
      <c r="D1171" s="9" t="s">
        <v>25</v>
      </c>
      <c r="E1171" s="8" t="s">
        <v>26</v>
      </c>
      <c r="F1171" s="9">
        <v>0.3</v>
      </c>
      <c r="G1171" s="31">
        <v>0</v>
      </c>
    </row>
    <row r="1172" spans="1:7" x14ac:dyDescent="0.3">
      <c r="A1172" t="s">
        <v>71</v>
      </c>
      <c r="B1172" s="1">
        <v>0.1</v>
      </c>
      <c r="D1172" s="9" t="s">
        <v>72</v>
      </c>
      <c r="E1172" s="8" t="s">
        <v>73</v>
      </c>
      <c r="F1172" s="9">
        <v>0.1</v>
      </c>
      <c r="G1172" s="31">
        <v>270</v>
      </c>
    </row>
    <row r="1173" spans="1:7" x14ac:dyDescent="0.3">
      <c r="A1173" t="s">
        <v>98</v>
      </c>
      <c r="B1173" s="1">
        <v>2</v>
      </c>
      <c r="D1173" s="9" t="s">
        <v>99</v>
      </c>
      <c r="E1173" s="8" t="s">
        <v>100</v>
      </c>
      <c r="F1173" s="9">
        <v>2</v>
      </c>
      <c r="G1173" s="31">
        <v>88</v>
      </c>
    </row>
    <row r="1174" spans="1:7" x14ac:dyDescent="0.3">
      <c r="A1174" s="3" t="s">
        <v>10</v>
      </c>
      <c r="B1174" s="1">
        <v>162.4</v>
      </c>
      <c r="E1174" s="10" t="s">
        <v>11</v>
      </c>
      <c r="F1174" s="12">
        <f>SUM(F1169:F1173)</f>
        <v>162.4</v>
      </c>
      <c r="G1174" s="84">
        <f>(G1169*$F1169+G1170*$F1170+G1171*$F1171+G1172*$F1172+G1173*$F1173)/$F1174</f>
        <v>203.46674876847291</v>
      </c>
    </row>
    <row r="1175" spans="1:7" x14ac:dyDescent="0.3">
      <c r="A1175" s="3" t="s">
        <v>12</v>
      </c>
      <c r="B1175" s="1" t="s">
        <v>13</v>
      </c>
      <c r="E1175" s="14"/>
      <c r="F1175" s="15"/>
      <c r="G1175" s="81"/>
    </row>
    <row r="1176" spans="1:7" x14ac:dyDescent="0.3">
      <c r="E1176" s="17"/>
      <c r="F1176" s="1"/>
      <c r="G1176" s="79"/>
    </row>
    <row r="1177" spans="1:7" x14ac:dyDescent="0.3">
      <c r="E1177" s="17"/>
      <c r="F1177" s="1"/>
      <c r="G1177" s="82"/>
    </row>
    <row r="1178" spans="1:7" x14ac:dyDescent="0.3">
      <c r="A1178" s="3" t="s">
        <v>743</v>
      </c>
    </row>
    <row r="1179" spans="1:7" x14ac:dyDescent="0.3">
      <c r="A1179" t="s">
        <v>266</v>
      </c>
      <c r="B1179" s="1">
        <v>50</v>
      </c>
      <c r="D1179" s="9" t="s">
        <v>267</v>
      </c>
      <c r="E1179" s="8" t="s">
        <v>268</v>
      </c>
      <c r="F1179" s="9">
        <v>50</v>
      </c>
      <c r="G1179" s="31">
        <v>345</v>
      </c>
    </row>
    <row r="1180" spans="1:7" x14ac:dyDescent="0.3">
      <c r="A1180" t="s">
        <v>839</v>
      </c>
      <c r="B1180" s="1">
        <v>50</v>
      </c>
      <c r="D1180" s="9" t="s">
        <v>410</v>
      </c>
      <c r="E1180" s="8" t="s">
        <v>839</v>
      </c>
      <c r="F1180" s="9">
        <v>50</v>
      </c>
      <c r="G1180" s="31">
        <v>192</v>
      </c>
    </row>
    <row r="1181" spans="1:7" x14ac:dyDescent="0.3">
      <c r="A1181" t="s">
        <v>126</v>
      </c>
      <c r="B1181" s="1">
        <v>10</v>
      </c>
      <c r="D1181" s="9" t="s">
        <v>127</v>
      </c>
      <c r="E1181" s="8" t="s">
        <v>128</v>
      </c>
      <c r="F1181" s="9">
        <v>10</v>
      </c>
      <c r="G1181" s="31">
        <v>28</v>
      </c>
    </row>
    <row r="1182" spans="1:7" x14ac:dyDescent="0.3">
      <c r="A1182" t="s">
        <v>44</v>
      </c>
      <c r="B1182" s="1">
        <v>10</v>
      </c>
      <c r="D1182" s="9" t="s">
        <v>45</v>
      </c>
      <c r="E1182" s="8" t="s">
        <v>46</v>
      </c>
      <c r="F1182" s="9">
        <v>10</v>
      </c>
      <c r="G1182" s="31">
        <v>899</v>
      </c>
    </row>
    <row r="1183" spans="1:7" x14ac:dyDescent="0.3">
      <c r="A1183" t="s">
        <v>71</v>
      </c>
      <c r="B1183" s="1">
        <v>0.1</v>
      </c>
      <c r="D1183" s="9" t="s">
        <v>72</v>
      </c>
      <c r="E1183" s="8" t="s">
        <v>73</v>
      </c>
      <c r="F1183" s="9">
        <v>0.1</v>
      </c>
      <c r="G1183" s="31">
        <v>270</v>
      </c>
    </row>
    <row r="1184" spans="1:7" x14ac:dyDescent="0.3">
      <c r="A1184" s="3" t="s">
        <v>10</v>
      </c>
      <c r="B1184" s="1">
        <v>120.1</v>
      </c>
      <c r="E1184" s="10" t="s">
        <v>11</v>
      </c>
      <c r="F1184" s="12">
        <f>SUM(F1179:F1183)</f>
        <v>120.1</v>
      </c>
      <c r="G1184" s="84">
        <f>(G1179*$F1179+G1180*$F1180+G1181*$F1181+G1182*$F1182+G1183*$F1183)/$F1184</f>
        <v>300.97418817651959</v>
      </c>
    </row>
    <row r="1185" spans="1:7" x14ac:dyDescent="0.3">
      <c r="A1185" s="3" t="s">
        <v>12</v>
      </c>
      <c r="B1185" s="1" t="s">
        <v>13</v>
      </c>
      <c r="E1185" s="14"/>
      <c r="F1185" s="15"/>
      <c r="G1185" s="81"/>
    </row>
    <row r="1186" spans="1:7" x14ac:dyDescent="0.3">
      <c r="E1186" s="17"/>
      <c r="F1186" s="1"/>
      <c r="G1186" s="79"/>
    </row>
    <row r="1187" spans="1:7" x14ac:dyDescent="0.3">
      <c r="E1187" s="17"/>
      <c r="F1187" s="1"/>
      <c r="G1187" s="82"/>
    </row>
    <row r="1188" spans="1:7" x14ac:dyDescent="0.3">
      <c r="E1188" s="17"/>
      <c r="F1188" s="1"/>
      <c r="G1188" s="82"/>
    </row>
    <row r="1189" spans="1:7" x14ac:dyDescent="0.3">
      <c r="A1189" s="3" t="s">
        <v>744</v>
      </c>
    </row>
    <row r="1190" spans="1:7" x14ac:dyDescent="0.3">
      <c r="A1190" t="s">
        <v>66</v>
      </c>
      <c r="B1190" s="1">
        <v>17</v>
      </c>
      <c r="D1190" s="9" t="s">
        <v>67</v>
      </c>
      <c r="E1190" s="8" t="s">
        <v>68</v>
      </c>
      <c r="F1190" s="9">
        <v>17</v>
      </c>
      <c r="G1190" s="31">
        <v>323</v>
      </c>
    </row>
    <row r="1191" spans="1:7" x14ac:dyDescent="0.3">
      <c r="A1191" t="s">
        <v>56</v>
      </c>
      <c r="B1191" s="1">
        <v>8</v>
      </c>
      <c r="D1191" s="9" t="s">
        <v>57</v>
      </c>
      <c r="E1191" s="8" t="s">
        <v>58</v>
      </c>
      <c r="F1191" s="9">
        <v>8</v>
      </c>
      <c r="G1191" s="31">
        <v>392</v>
      </c>
    </row>
    <row r="1192" spans="1:7" x14ac:dyDescent="0.3">
      <c r="A1192" t="s">
        <v>258</v>
      </c>
      <c r="B1192" s="1">
        <v>8</v>
      </c>
      <c r="D1192" s="9" t="s">
        <v>259</v>
      </c>
      <c r="E1192" s="8" t="s">
        <v>260</v>
      </c>
      <c r="F1192" s="9">
        <v>8</v>
      </c>
      <c r="G1192" s="31">
        <v>128</v>
      </c>
    </row>
    <row r="1193" spans="1:7" x14ac:dyDescent="0.3">
      <c r="A1193" t="s">
        <v>63</v>
      </c>
      <c r="B1193" s="1">
        <v>6</v>
      </c>
      <c r="D1193" s="9" t="s">
        <v>64</v>
      </c>
      <c r="E1193" s="8" t="s">
        <v>65</v>
      </c>
      <c r="F1193" s="9">
        <v>6</v>
      </c>
      <c r="G1193" s="31">
        <v>758</v>
      </c>
    </row>
    <row r="1194" spans="1:7" x14ac:dyDescent="0.3">
      <c r="A1194" t="s">
        <v>850</v>
      </c>
      <c r="B1194" s="1">
        <v>5</v>
      </c>
      <c r="D1194" s="9" t="s">
        <v>70</v>
      </c>
      <c r="E1194" s="8" t="s">
        <v>850</v>
      </c>
      <c r="F1194" s="9">
        <v>5</v>
      </c>
      <c r="G1194" s="31">
        <v>64</v>
      </c>
    </row>
    <row r="1195" spans="1:7" x14ac:dyDescent="0.3">
      <c r="A1195" t="s">
        <v>463</v>
      </c>
      <c r="B1195" s="1">
        <v>55</v>
      </c>
      <c r="D1195" s="9" t="s">
        <v>464</v>
      </c>
      <c r="E1195" s="8" t="s">
        <v>465</v>
      </c>
      <c r="F1195" s="9">
        <v>55</v>
      </c>
      <c r="G1195" s="31">
        <v>57</v>
      </c>
    </row>
    <row r="1196" spans="1:7" x14ac:dyDescent="0.3">
      <c r="A1196" t="s">
        <v>132</v>
      </c>
      <c r="B1196" s="1">
        <v>0.5</v>
      </c>
      <c r="D1196" s="9" t="s">
        <v>133</v>
      </c>
      <c r="E1196" s="8" t="s">
        <v>134</v>
      </c>
      <c r="F1196" s="9">
        <v>0.5</v>
      </c>
      <c r="G1196" s="31">
        <v>301</v>
      </c>
    </row>
    <row r="1197" spans="1:7" x14ac:dyDescent="0.3">
      <c r="A1197" t="s">
        <v>724</v>
      </c>
      <c r="B1197" s="1">
        <v>0.5</v>
      </c>
      <c r="D1197" s="9" t="s">
        <v>725</v>
      </c>
      <c r="E1197" s="8" t="s">
        <v>726</v>
      </c>
      <c r="F1197" s="9">
        <v>0.5</v>
      </c>
      <c r="G1197" s="31">
        <v>50</v>
      </c>
    </row>
    <row r="1198" spans="1:7" x14ac:dyDescent="0.3">
      <c r="A1198" s="3" t="s">
        <v>10</v>
      </c>
      <c r="B1198" s="1">
        <v>100</v>
      </c>
      <c r="E1198" s="10" t="s">
        <v>11</v>
      </c>
      <c r="F1198" s="12">
        <f>SUM(F1190:F1197)</f>
        <v>100</v>
      </c>
      <c r="G1198" s="84">
        <f>(G1193*$F1193+G1194*$F1194+G1195*$F1195+G1196*$F1196+G1197*$F1197+$F1191*G1191+$F1192*G1192+$F1190*G1190)/$F1198</f>
        <v>178.29499999999999</v>
      </c>
    </row>
    <row r="1199" spans="1:7" x14ac:dyDescent="0.3">
      <c r="A1199" s="3" t="s">
        <v>12</v>
      </c>
      <c r="B1199" s="1" t="s">
        <v>13</v>
      </c>
      <c r="E1199" s="14"/>
      <c r="F1199" s="15"/>
      <c r="G1199" s="81"/>
    </row>
    <row r="1200" spans="1:7" x14ac:dyDescent="0.3">
      <c r="E1200" s="17"/>
      <c r="F1200" s="1"/>
      <c r="G1200" s="79"/>
    </row>
    <row r="1201" spans="1:7" x14ac:dyDescent="0.3">
      <c r="E1201" s="17"/>
      <c r="F1201" s="1"/>
      <c r="G1201" s="82"/>
    </row>
    <row r="1202" spans="1:7" x14ac:dyDescent="0.3">
      <c r="E1202" s="17"/>
      <c r="F1202" s="1"/>
      <c r="G1202" s="82"/>
    </row>
    <row r="1203" spans="1:7" x14ac:dyDescent="0.3">
      <c r="A1203" s="3" t="s">
        <v>745</v>
      </c>
    </row>
    <row r="1204" spans="1:7" x14ac:dyDescent="0.3">
      <c r="A1204" t="s">
        <v>66</v>
      </c>
      <c r="B1204" s="1">
        <v>19</v>
      </c>
      <c r="D1204" s="9" t="s">
        <v>67</v>
      </c>
      <c r="E1204" s="8" t="s">
        <v>68</v>
      </c>
      <c r="F1204" s="9">
        <v>19</v>
      </c>
      <c r="G1204" s="31">
        <v>323</v>
      </c>
    </row>
    <row r="1205" spans="1:7" x14ac:dyDescent="0.3">
      <c r="A1205" t="s">
        <v>222</v>
      </c>
      <c r="B1205" s="1">
        <v>6</v>
      </c>
      <c r="D1205" s="9" t="s">
        <v>223</v>
      </c>
      <c r="E1205" s="8" t="s">
        <v>224</v>
      </c>
      <c r="F1205" s="9">
        <v>6</v>
      </c>
      <c r="G1205" s="31">
        <v>349</v>
      </c>
    </row>
    <row r="1206" spans="1:7" x14ac:dyDescent="0.3">
      <c r="A1206" t="s">
        <v>63</v>
      </c>
      <c r="B1206" s="1">
        <v>12</v>
      </c>
      <c r="D1206" s="9" t="s">
        <v>64</v>
      </c>
      <c r="E1206" s="8" t="s">
        <v>65</v>
      </c>
      <c r="F1206" s="9">
        <v>12</v>
      </c>
      <c r="G1206" s="31">
        <v>758</v>
      </c>
    </row>
    <row r="1207" spans="1:7" x14ac:dyDescent="0.3">
      <c r="A1207" t="s">
        <v>56</v>
      </c>
      <c r="B1207" s="1">
        <v>25</v>
      </c>
      <c r="D1207" s="9" t="s">
        <v>57</v>
      </c>
      <c r="E1207" s="8" t="s">
        <v>58</v>
      </c>
      <c r="F1207" s="9">
        <v>25</v>
      </c>
      <c r="G1207" s="31">
        <v>392</v>
      </c>
    </row>
    <row r="1208" spans="1:7" x14ac:dyDescent="0.3">
      <c r="A1208" t="s">
        <v>258</v>
      </c>
      <c r="B1208" s="1">
        <v>37</v>
      </c>
      <c r="D1208" s="9" t="s">
        <v>259</v>
      </c>
      <c r="E1208" s="8" t="s">
        <v>260</v>
      </c>
      <c r="F1208" s="9">
        <v>37</v>
      </c>
      <c r="G1208" s="31">
        <v>128</v>
      </c>
    </row>
    <row r="1209" spans="1:7" x14ac:dyDescent="0.3">
      <c r="A1209" t="s">
        <v>724</v>
      </c>
      <c r="B1209" s="1">
        <v>1</v>
      </c>
      <c r="D1209" s="9" t="s">
        <v>725</v>
      </c>
      <c r="E1209" s="8" t="s">
        <v>726</v>
      </c>
      <c r="F1209" s="9">
        <v>1</v>
      </c>
      <c r="G1209" s="31">
        <v>50</v>
      </c>
    </row>
    <row r="1210" spans="1:7" x14ac:dyDescent="0.3">
      <c r="A1210" s="3" t="s">
        <v>10</v>
      </c>
      <c r="B1210" s="1">
        <v>100</v>
      </c>
      <c r="E1210" s="10" t="s">
        <v>11</v>
      </c>
      <c r="F1210" s="12">
        <f>SUM(F1204:F1209)</f>
        <v>100</v>
      </c>
      <c r="G1210" s="84">
        <f>(G1205*$F1205+G1206*$F1206+G1207*$F1207+G1208*$F1208+G1209*$F1209+$F1204*G1204)/$F1210</f>
        <v>319.13</v>
      </c>
    </row>
    <row r="1211" spans="1:7" x14ac:dyDescent="0.3">
      <c r="A1211" s="3" t="s">
        <v>12</v>
      </c>
      <c r="B1211" s="1" t="s">
        <v>13</v>
      </c>
      <c r="E1211" s="14"/>
      <c r="F1211" s="15"/>
      <c r="G1211" s="81"/>
    </row>
    <row r="1212" spans="1:7" x14ac:dyDescent="0.3">
      <c r="E1212" s="17"/>
      <c r="F1212" s="1"/>
      <c r="G1212" s="79"/>
    </row>
    <row r="1213" spans="1:7" x14ac:dyDescent="0.3">
      <c r="E1213" s="17"/>
      <c r="F1213" s="1"/>
      <c r="G1213" s="82"/>
    </row>
    <row r="1214" spans="1:7" x14ac:dyDescent="0.3">
      <c r="E1214" s="17"/>
      <c r="F1214" s="1"/>
      <c r="G1214" s="82"/>
    </row>
    <row r="1215" spans="1:7" x14ac:dyDescent="0.3">
      <c r="A1215" s="3" t="s">
        <v>746</v>
      </c>
    </row>
    <row r="1216" spans="1:7" x14ac:dyDescent="0.3">
      <c r="A1216" t="s">
        <v>854</v>
      </c>
      <c r="B1216" s="1">
        <v>60</v>
      </c>
      <c r="D1216" s="9" t="s">
        <v>654</v>
      </c>
      <c r="E1216" s="8" t="s">
        <v>854</v>
      </c>
      <c r="F1216" s="9">
        <v>60</v>
      </c>
      <c r="G1216" s="31">
        <v>287</v>
      </c>
    </row>
    <row r="1217" spans="1:7" x14ac:dyDescent="0.3">
      <c r="A1217" t="s">
        <v>262</v>
      </c>
      <c r="B1217" s="1">
        <v>200</v>
      </c>
      <c r="D1217" s="9" t="s">
        <v>263</v>
      </c>
      <c r="E1217" s="8" t="s">
        <v>264</v>
      </c>
      <c r="F1217" s="9">
        <v>200</v>
      </c>
      <c r="G1217" s="31">
        <v>5</v>
      </c>
    </row>
    <row r="1218" spans="1:7" x14ac:dyDescent="0.3">
      <c r="A1218" t="s">
        <v>139</v>
      </c>
      <c r="B1218" s="1">
        <v>5</v>
      </c>
      <c r="D1218" s="9" t="s">
        <v>140</v>
      </c>
      <c r="E1218" s="8" t="s">
        <v>141</v>
      </c>
      <c r="F1218" s="9">
        <v>5</v>
      </c>
      <c r="G1218" s="31">
        <v>387</v>
      </c>
    </row>
    <row r="1219" spans="1:7" x14ac:dyDescent="0.3">
      <c r="A1219" s="3" t="s">
        <v>10</v>
      </c>
      <c r="B1219" s="1">
        <v>265</v>
      </c>
      <c r="E1219" s="10" t="s">
        <v>11</v>
      </c>
      <c r="F1219" s="12">
        <f>SUM(F1216:F1218)</f>
        <v>265</v>
      </c>
      <c r="G1219" s="84">
        <f>(G1216*$F1216+G1217*$F1217+G1218*$F1218)/$F1219</f>
        <v>76.056603773584911</v>
      </c>
    </row>
    <row r="1220" spans="1:7" x14ac:dyDescent="0.3">
      <c r="A1220" s="3" t="s">
        <v>12</v>
      </c>
      <c r="B1220" s="1" t="s">
        <v>13</v>
      </c>
      <c r="E1220" s="14"/>
      <c r="F1220" s="15"/>
      <c r="G1220" s="81"/>
    </row>
    <row r="1221" spans="1:7" x14ac:dyDescent="0.3">
      <c r="E1221" s="17"/>
      <c r="F1221" s="1"/>
      <c r="G1221" s="79"/>
    </row>
    <row r="1222" spans="1:7" x14ac:dyDescent="0.3">
      <c r="E1222" s="17"/>
      <c r="F1222" s="1"/>
      <c r="G1222" s="82"/>
    </row>
    <row r="1223" spans="1:7" x14ac:dyDescent="0.3">
      <c r="E1223" s="17"/>
      <c r="F1223" s="1"/>
      <c r="G1223" s="82"/>
    </row>
    <row r="1224" spans="1:7" x14ac:dyDescent="0.3">
      <c r="A1224" s="3" t="s">
        <v>747</v>
      </c>
    </row>
    <row r="1225" spans="1:7" x14ac:dyDescent="0.3">
      <c r="A1225" t="s">
        <v>258</v>
      </c>
      <c r="B1225" s="1">
        <v>50</v>
      </c>
      <c r="D1225" s="9" t="s">
        <v>259</v>
      </c>
      <c r="E1225" s="8" t="s">
        <v>260</v>
      </c>
      <c r="F1225" s="9">
        <v>50</v>
      </c>
      <c r="G1225" s="31">
        <v>128</v>
      </c>
    </row>
    <row r="1226" spans="1:7" x14ac:dyDescent="0.3">
      <c r="A1226" t="s">
        <v>44</v>
      </c>
      <c r="B1226" s="1">
        <v>5</v>
      </c>
      <c r="D1226" s="9" t="s">
        <v>45</v>
      </c>
      <c r="E1226" s="8" t="s">
        <v>46</v>
      </c>
      <c r="F1226" s="9">
        <v>5</v>
      </c>
      <c r="G1226" s="31">
        <v>899</v>
      </c>
    </row>
    <row r="1227" spans="1:7" x14ac:dyDescent="0.3">
      <c r="A1227" t="s">
        <v>24</v>
      </c>
      <c r="B1227" s="1">
        <v>0.15</v>
      </c>
      <c r="D1227" s="9" t="s">
        <v>25</v>
      </c>
      <c r="E1227" s="8" t="s">
        <v>26</v>
      </c>
      <c r="F1227" s="9">
        <v>0.15</v>
      </c>
      <c r="G1227" s="31">
        <v>0</v>
      </c>
    </row>
    <row r="1228" spans="1:7" x14ac:dyDescent="0.3">
      <c r="A1228" s="3" t="s">
        <v>10</v>
      </c>
      <c r="B1228" s="1">
        <v>55.15</v>
      </c>
      <c r="E1228" s="10" t="s">
        <v>11</v>
      </c>
      <c r="F1228" s="12">
        <f>SUM(F1225:F1227)</f>
        <v>55.15</v>
      </c>
      <c r="G1228" s="84">
        <f>(G1225*$F1225+G1226*$F1226+G1227*$F1227)/$F1228</f>
        <v>197.55213055303719</v>
      </c>
    </row>
    <row r="1229" spans="1:7" x14ac:dyDescent="0.3">
      <c r="A1229" s="3" t="s">
        <v>12</v>
      </c>
      <c r="B1229" s="1" t="s">
        <v>13</v>
      </c>
      <c r="E1229" s="14"/>
      <c r="F1229" s="15"/>
      <c r="G1229" s="81"/>
    </row>
    <row r="1230" spans="1:7" x14ac:dyDescent="0.3">
      <c r="E1230" s="17"/>
      <c r="F1230" s="1"/>
      <c r="G1230" s="79"/>
    </row>
    <row r="1231" spans="1:7" x14ac:dyDescent="0.3">
      <c r="E1231" s="17"/>
      <c r="F1231" s="1"/>
      <c r="G1231" s="82"/>
    </row>
    <row r="1232" spans="1:7" x14ac:dyDescent="0.3">
      <c r="A1232" s="3" t="s">
        <v>748</v>
      </c>
    </row>
    <row r="1233" spans="1:7" x14ac:dyDescent="0.3">
      <c r="A1233" t="s">
        <v>258</v>
      </c>
      <c r="B1233" s="1">
        <v>50</v>
      </c>
      <c r="D1233" s="9" t="s">
        <v>259</v>
      </c>
      <c r="E1233" s="8" t="s">
        <v>260</v>
      </c>
      <c r="F1233" s="9">
        <v>50</v>
      </c>
      <c r="G1233" s="31">
        <v>128</v>
      </c>
    </row>
    <row r="1234" spans="1:7" x14ac:dyDescent="0.3">
      <c r="A1234" t="s">
        <v>44</v>
      </c>
      <c r="B1234" s="1">
        <v>5</v>
      </c>
      <c r="D1234" s="9" t="s">
        <v>45</v>
      </c>
      <c r="E1234" s="8" t="s">
        <v>46</v>
      </c>
      <c r="F1234" s="9">
        <v>5</v>
      </c>
      <c r="G1234" s="31">
        <v>899</v>
      </c>
    </row>
    <row r="1235" spans="1:7" x14ac:dyDescent="0.3">
      <c r="A1235" t="s">
        <v>24</v>
      </c>
      <c r="B1235" s="1">
        <v>0.15</v>
      </c>
      <c r="D1235" s="9" t="s">
        <v>25</v>
      </c>
      <c r="E1235" s="8" t="s">
        <v>26</v>
      </c>
      <c r="F1235" s="9">
        <v>0.15</v>
      </c>
      <c r="G1235" s="31">
        <v>0</v>
      </c>
    </row>
    <row r="1236" spans="1:7" x14ac:dyDescent="0.3">
      <c r="A1236" s="3" t="s">
        <v>10</v>
      </c>
      <c r="B1236" s="1">
        <v>55.15</v>
      </c>
      <c r="E1236" s="10" t="s">
        <v>11</v>
      </c>
      <c r="F1236" s="12">
        <f>SUM(F1233:F1235)</f>
        <v>55.15</v>
      </c>
      <c r="G1236" s="84">
        <f>(G1233*$F1233+G1234*$F1234+G1235*$F1235)/$F1236</f>
        <v>197.55213055303719</v>
      </c>
    </row>
    <row r="1237" spans="1:7" x14ac:dyDescent="0.3">
      <c r="A1237" s="3" t="s">
        <v>12</v>
      </c>
      <c r="B1237" s="1" t="s">
        <v>13</v>
      </c>
      <c r="E1237" s="14"/>
      <c r="F1237" s="15"/>
      <c r="G1237" s="81"/>
    </row>
    <row r="1238" spans="1:7" x14ac:dyDescent="0.3">
      <c r="E1238" s="17"/>
      <c r="F1238" s="1"/>
      <c r="G1238" s="79"/>
    </row>
    <row r="1239" spans="1:7" x14ac:dyDescent="0.3">
      <c r="E1239" s="17"/>
      <c r="F1239" s="1"/>
      <c r="G1239" s="82"/>
    </row>
    <row r="1240" spans="1:7" x14ac:dyDescent="0.3">
      <c r="A1240" s="3" t="s">
        <v>749</v>
      </c>
    </row>
    <row r="1241" spans="1:7" x14ac:dyDescent="0.3">
      <c r="A1241" t="s">
        <v>258</v>
      </c>
      <c r="B1241" s="1">
        <v>50</v>
      </c>
      <c r="D1241" s="9" t="s">
        <v>259</v>
      </c>
      <c r="E1241" s="8" t="s">
        <v>260</v>
      </c>
      <c r="F1241" s="9">
        <v>50</v>
      </c>
      <c r="G1241" s="31">
        <v>128</v>
      </c>
    </row>
    <row r="1242" spans="1:7" x14ac:dyDescent="0.3">
      <c r="A1242" s="3" t="s">
        <v>10</v>
      </c>
      <c r="B1242" s="1">
        <v>50</v>
      </c>
      <c r="E1242" s="10" t="s">
        <v>11</v>
      </c>
      <c r="F1242" s="12">
        <f>SUM(F1241)</f>
        <v>50</v>
      </c>
      <c r="G1242" s="84">
        <f>(G1241*$F1241)/$F1242</f>
        <v>128</v>
      </c>
    </row>
    <row r="1243" spans="1:7" x14ac:dyDescent="0.3">
      <c r="A1243" s="3" t="s">
        <v>12</v>
      </c>
      <c r="B1243" s="1" t="s">
        <v>13</v>
      </c>
      <c r="E1243" s="14"/>
      <c r="F1243" s="15"/>
      <c r="G1243" s="86"/>
    </row>
    <row r="1244" spans="1:7" x14ac:dyDescent="0.3">
      <c r="E1244" s="17"/>
      <c r="F1244" s="1"/>
      <c r="G1244" s="79"/>
    </row>
    <row r="1245" spans="1:7" x14ac:dyDescent="0.3">
      <c r="E1245" s="17"/>
      <c r="F1245" s="1"/>
      <c r="G1245" s="82"/>
    </row>
    <row r="1246" spans="1:7" x14ac:dyDescent="0.3">
      <c r="A1246" s="3" t="s">
        <v>750</v>
      </c>
    </row>
    <row r="1247" spans="1:7" x14ac:dyDescent="0.3">
      <c r="A1247" s="61" t="s">
        <v>548</v>
      </c>
      <c r="B1247" s="9">
        <v>66</v>
      </c>
      <c r="D1247" s="65" t="s">
        <v>433</v>
      </c>
      <c r="E1247" s="42" t="s">
        <v>434</v>
      </c>
      <c r="F1247" s="9">
        <v>66</v>
      </c>
      <c r="G1247" s="31">
        <v>35</v>
      </c>
    </row>
    <row r="1248" spans="1:7" x14ac:dyDescent="0.3">
      <c r="A1248" s="61" t="s">
        <v>548</v>
      </c>
      <c r="B1248" s="9">
        <v>67</v>
      </c>
      <c r="D1248" s="65" t="s">
        <v>247</v>
      </c>
      <c r="E1248" s="42" t="s">
        <v>248</v>
      </c>
      <c r="F1248" s="9">
        <v>67</v>
      </c>
      <c r="G1248" s="31">
        <v>19</v>
      </c>
    </row>
    <row r="1249" spans="1:13" x14ac:dyDescent="0.3">
      <c r="A1249" s="61" t="s">
        <v>548</v>
      </c>
      <c r="B1249" s="9">
        <v>67</v>
      </c>
      <c r="D1249" s="65" t="s">
        <v>216</v>
      </c>
      <c r="E1249" s="8" t="s">
        <v>217</v>
      </c>
      <c r="F1249" s="9">
        <v>67</v>
      </c>
      <c r="G1249" s="31">
        <v>30</v>
      </c>
      <c r="I1249" s="30"/>
      <c r="J1249" s="30"/>
      <c r="K1249" s="31"/>
      <c r="L1249" s="32"/>
      <c r="M1249" s="32"/>
    </row>
    <row r="1250" spans="1:13" x14ac:dyDescent="0.3">
      <c r="A1250" t="s">
        <v>44</v>
      </c>
      <c r="B1250" s="1">
        <v>10</v>
      </c>
      <c r="D1250" s="9" t="s">
        <v>45</v>
      </c>
      <c r="E1250" s="8" t="s">
        <v>46</v>
      </c>
      <c r="F1250" s="9">
        <v>10</v>
      </c>
      <c r="G1250" s="31">
        <v>899</v>
      </c>
      <c r="I1250" s="30"/>
      <c r="J1250" s="30"/>
      <c r="K1250" s="31"/>
      <c r="L1250" s="32"/>
      <c r="M1250" s="32"/>
    </row>
    <row r="1251" spans="1:13" x14ac:dyDescent="0.3">
      <c r="A1251" t="s">
        <v>21</v>
      </c>
      <c r="B1251" s="1">
        <v>5</v>
      </c>
      <c r="D1251" s="9" t="s">
        <v>22</v>
      </c>
      <c r="E1251" s="8" t="s">
        <v>23</v>
      </c>
      <c r="F1251" s="9">
        <v>5</v>
      </c>
      <c r="G1251" s="31">
        <v>4</v>
      </c>
      <c r="I1251" s="30"/>
      <c r="J1251" s="30"/>
      <c r="K1251" s="31"/>
      <c r="L1251" s="32"/>
      <c r="M1251" s="32"/>
    </row>
    <row r="1252" spans="1:13" x14ac:dyDescent="0.3">
      <c r="A1252" t="s">
        <v>24</v>
      </c>
      <c r="B1252" s="1">
        <v>0.3</v>
      </c>
      <c r="D1252" s="9" t="s">
        <v>25</v>
      </c>
      <c r="E1252" s="8" t="s">
        <v>26</v>
      </c>
      <c r="F1252" s="9">
        <v>0.3</v>
      </c>
      <c r="G1252" s="31">
        <v>0</v>
      </c>
      <c r="I1252" s="30"/>
      <c r="J1252" s="30"/>
      <c r="K1252" s="31"/>
      <c r="L1252" s="32"/>
      <c r="M1252" s="32"/>
    </row>
    <row r="1253" spans="1:13" x14ac:dyDescent="0.3">
      <c r="A1253" s="3" t="s">
        <v>10</v>
      </c>
      <c r="B1253" s="1">
        <v>215.3</v>
      </c>
      <c r="E1253" s="10" t="s">
        <v>11</v>
      </c>
      <c r="F1253" s="12">
        <f>SUM(F1247:F1252)</f>
        <v>215.3</v>
      </c>
      <c r="G1253" s="84">
        <f>(F1247*G1247+F1248*G1248+F1249*G1249+G1250*$F1250+G1251*$F1251+G1252*$F1252)/$F1253</f>
        <v>67.826288899210397</v>
      </c>
      <c r="I1253" s="30"/>
      <c r="J1253" s="30"/>
      <c r="K1253" s="31"/>
      <c r="L1253" s="32"/>
      <c r="M1253" s="32"/>
    </row>
    <row r="1254" spans="1:13" x14ac:dyDescent="0.3">
      <c r="A1254" s="3" t="s">
        <v>12</v>
      </c>
      <c r="B1254" s="1" t="s">
        <v>13</v>
      </c>
      <c r="E1254" s="14" t="s">
        <v>102</v>
      </c>
      <c r="F1254" s="15"/>
      <c r="G1254" s="81">
        <v>68.11</v>
      </c>
      <c r="I1254" s="30"/>
      <c r="J1254" s="30"/>
      <c r="K1254" s="31"/>
      <c r="L1254" s="32"/>
      <c r="M1254" s="32"/>
    </row>
    <row r="1255" spans="1:13" x14ac:dyDescent="0.3">
      <c r="E1255" s="17" t="s">
        <v>570</v>
      </c>
      <c r="F1255" s="1" t="s">
        <v>571</v>
      </c>
      <c r="G1255" s="79">
        <f t="shared" ref="G1255" si="4">G1253-G1254</f>
        <v>-0.28371110078960271</v>
      </c>
    </row>
    <row r="1256" spans="1:13" x14ac:dyDescent="0.3">
      <c r="E1256" s="17" t="s">
        <v>570</v>
      </c>
      <c r="F1256" s="1" t="s">
        <v>572</v>
      </c>
      <c r="G1256" s="82">
        <f t="shared" ref="G1256" si="5">G1255*100/G1253</f>
        <v>-0.41829076217216649</v>
      </c>
    </row>
    <row r="1257" spans="1:13" x14ac:dyDescent="0.3">
      <c r="A1257" s="3" t="s">
        <v>751</v>
      </c>
    </row>
    <row r="1258" spans="1:13" x14ac:dyDescent="0.3">
      <c r="A1258" s="61" t="s">
        <v>752</v>
      </c>
      <c r="B1258" s="62">
        <v>80</v>
      </c>
      <c r="D1258" s="65" t="s">
        <v>426</v>
      </c>
      <c r="E1258" s="8" t="s">
        <v>867</v>
      </c>
      <c r="F1258" s="9">
        <v>80</v>
      </c>
      <c r="G1258" s="31">
        <v>19</v>
      </c>
    </row>
    <row r="1259" spans="1:13" x14ac:dyDescent="0.3">
      <c r="A1259" s="67" t="s">
        <v>753</v>
      </c>
      <c r="B1259" s="68">
        <v>16</v>
      </c>
      <c r="D1259" s="30" t="s">
        <v>148</v>
      </c>
      <c r="E1259" s="30" t="s">
        <v>849</v>
      </c>
      <c r="F1259" s="31">
        <v>16</v>
      </c>
      <c r="G1259" s="31">
        <v>19</v>
      </c>
    </row>
    <row r="1260" spans="1:13" x14ac:dyDescent="0.3">
      <c r="A1260" s="67" t="s">
        <v>753</v>
      </c>
      <c r="B1260" s="68">
        <v>16</v>
      </c>
      <c r="D1260" s="30" t="s">
        <v>130</v>
      </c>
      <c r="E1260" s="30" t="s">
        <v>131</v>
      </c>
      <c r="F1260" s="31">
        <v>16</v>
      </c>
      <c r="G1260" s="31">
        <v>23</v>
      </c>
    </row>
    <row r="1261" spans="1:13" x14ac:dyDescent="0.3">
      <c r="A1261" s="67" t="s">
        <v>753</v>
      </c>
      <c r="B1261" s="68">
        <v>17</v>
      </c>
      <c r="D1261" s="30" t="s">
        <v>377</v>
      </c>
      <c r="E1261" s="30" t="s">
        <v>845</v>
      </c>
      <c r="F1261" s="31">
        <v>17</v>
      </c>
      <c r="G1261" s="31">
        <v>26</v>
      </c>
    </row>
    <row r="1262" spans="1:13" x14ac:dyDescent="0.3">
      <c r="A1262" s="67" t="s">
        <v>753</v>
      </c>
      <c r="B1262" s="68">
        <v>17</v>
      </c>
      <c r="D1262" s="30" t="s">
        <v>507</v>
      </c>
      <c r="E1262" s="30" t="s">
        <v>508</v>
      </c>
      <c r="F1262" s="31">
        <v>17</v>
      </c>
      <c r="G1262" s="31">
        <v>13</v>
      </c>
    </row>
    <row r="1263" spans="1:13" x14ac:dyDescent="0.3">
      <c r="A1263" s="67" t="s">
        <v>753</v>
      </c>
      <c r="B1263" s="68">
        <v>17</v>
      </c>
      <c r="D1263" s="30" t="s">
        <v>124</v>
      </c>
      <c r="E1263" s="30" t="s">
        <v>125</v>
      </c>
      <c r="F1263" s="31">
        <v>17</v>
      </c>
      <c r="G1263" s="31">
        <v>39</v>
      </c>
    </row>
    <row r="1264" spans="1:13" x14ac:dyDescent="0.3">
      <c r="A1264" s="67" t="s">
        <v>753</v>
      </c>
      <c r="B1264" s="68">
        <v>17</v>
      </c>
      <c r="D1264" s="30" t="s">
        <v>315</v>
      </c>
      <c r="E1264" s="30" t="s">
        <v>316</v>
      </c>
      <c r="F1264" s="31">
        <v>17</v>
      </c>
      <c r="G1264" s="31">
        <v>13</v>
      </c>
    </row>
    <row r="1265" spans="1:7" x14ac:dyDescent="0.3">
      <c r="A1265" t="s">
        <v>44</v>
      </c>
      <c r="B1265" s="1">
        <v>10</v>
      </c>
      <c r="D1265" s="9" t="s">
        <v>45</v>
      </c>
      <c r="E1265" s="8" t="s">
        <v>46</v>
      </c>
      <c r="F1265" s="9">
        <v>10</v>
      </c>
      <c r="G1265" s="31">
        <v>899</v>
      </c>
    </row>
    <row r="1266" spans="1:7" x14ac:dyDescent="0.3">
      <c r="A1266" t="s">
        <v>21</v>
      </c>
      <c r="B1266" s="1">
        <v>5</v>
      </c>
      <c r="D1266" s="9" t="s">
        <v>22</v>
      </c>
      <c r="E1266" s="8" t="s">
        <v>23</v>
      </c>
      <c r="F1266" s="9">
        <v>5</v>
      </c>
      <c r="G1266" s="31">
        <v>4</v>
      </c>
    </row>
    <row r="1267" spans="1:7" x14ac:dyDescent="0.3">
      <c r="A1267" t="s">
        <v>24</v>
      </c>
      <c r="B1267" s="1">
        <v>0.3</v>
      </c>
      <c r="D1267" s="9" t="s">
        <v>25</v>
      </c>
      <c r="E1267" s="8" t="s">
        <v>26</v>
      </c>
      <c r="F1267" s="9">
        <v>0.3</v>
      </c>
      <c r="G1267" s="31">
        <v>0</v>
      </c>
    </row>
    <row r="1268" spans="1:7" x14ac:dyDescent="0.3">
      <c r="A1268" s="3" t="s">
        <v>10</v>
      </c>
      <c r="B1268" s="1">
        <v>195.3</v>
      </c>
      <c r="E1268" s="10" t="s">
        <v>11</v>
      </c>
      <c r="F1268" s="12">
        <f>SUM(F1258:F1267)</f>
        <v>195.3</v>
      </c>
      <c r="G1268" s="84">
        <f>(G1258*$F1258+ F1259*G1259+F1260*G1260+F1261*G1261+F1262*G1262+F1263*G1263+G1264*$F1264+G1265*$F1265+G1266*$F1266+G1267*$F1267)/$F1268</f>
        <v>65.279057859703016</v>
      </c>
    </row>
    <row r="1269" spans="1:7" x14ac:dyDescent="0.3">
      <c r="A1269" s="3" t="s">
        <v>12</v>
      </c>
      <c r="B1269" s="1" t="s">
        <v>13</v>
      </c>
      <c r="E1269" s="14"/>
      <c r="F1269" s="15"/>
      <c r="G1269" s="81"/>
    </row>
    <row r="1270" spans="1:7" x14ac:dyDescent="0.3">
      <c r="E1270" s="17"/>
      <c r="F1270" s="1"/>
      <c r="G1270" s="79"/>
    </row>
    <row r="1271" spans="1:7" x14ac:dyDescent="0.3">
      <c r="E1271" s="17"/>
      <c r="F1271" s="1"/>
      <c r="G1271" s="82"/>
    </row>
    <row r="1272" spans="1:7" x14ac:dyDescent="0.3">
      <c r="A1272" s="3" t="s">
        <v>754</v>
      </c>
    </row>
    <row r="1273" spans="1:7" x14ac:dyDescent="0.3">
      <c r="A1273" t="s">
        <v>371</v>
      </c>
      <c r="B1273" s="1">
        <v>50</v>
      </c>
      <c r="D1273" s="9" t="s">
        <v>372</v>
      </c>
      <c r="E1273" s="8" t="s">
        <v>373</v>
      </c>
      <c r="F1273" s="9">
        <v>50</v>
      </c>
      <c r="G1273" s="31">
        <v>20</v>
      </c>
    </row>
    <row r="1274" spans="1:7" x14ac:dyDescent="0.3">
      <c r="A1274" t="s">
        <v>845</v>
      </c>
      <c r="B1274" s="1">
        <v>50</v>
      </c>
      <c r="D1274" s="9" t="s">
        <v>377</v>
      </c>
      <c r="E1274" s="8" t="s">
        <v>845</v>
      </c>
      <c r="F1274" s="9">
        <v>50</v>
      </c>
      <c r="G1274" s="31">
        <v>26</v>
      </c>
    </row>
    <row r="1275" spans="1:7" x14ac:dyDescent="0.3">
      <c r="A1275" t="s">
        <v>418</v>
      </c>
      <c r="B1275" s="1">
        <v>50</v>
      </c>
      <c r="D1275" s="9" t="s">
        <v>419</v>
      </c>
      <c r="E1275" s="8" t="s">
        <v>420</v>
      </c>
      <c r="F1275" s="9">
        <v>50</v>
      </c>
      <c r="G1275" s="31">
        <v>18</v>
      </c>
    </row>
    <row r="1276" spans="1:7" x14ac:dyDescent="0.3">
      <c r="A1276" t="s">
        <v>374</v>
      </c>
      <c r="B1276" s="1">
        <v>50</v>
      </c>
      <c r="D1276" s="9" t="s">
        <v>375</v>
      </c>
      <c r="E1276" s="8" t="s">
        <v>376</v>
      </c>
      <c r="F1276" s="9">
        <v>50</v>
      </c>
      <c r="G1276" s="31">
        <v>14</v>
      </c>
    </row>
    <row r="1277" spans="1:7" x14ac:dyDescent="0.3">
      <c r="A1277" t="s">
        <v>44</v>
      </c>
      <c r="B1277" s="1">
        <v>10</v>
      </c>
      <c r="D1277" s="9" t="s">
        <v>45</v>
      </c>
      <c r="E1277" s="8" t="s">
        <v>46</v>
      </c>
      <c r="F1277" s="9">
        <v>10</v>
      </c>
      <c r="G1277" s="31">
        <v>899</v>
      </c>
    </row>
    <row r="1278" spans="1:7" x14ac:dyDescent="0.3">
      <c r="A1278" t="s">
        <v>24</v>
      </c>
      <c r="B1278" s="1">
        <v>0.3</v>
      </c>
      <c r="D1278" s="9" t="s">
        <v>25</v>
      </c>
      <c r="E1278" s="8" t="s">
        <v>26</v>
      </c>
      <c r="F1278" s="9">
        <v>0.3</v>
      </c>
      <c r="G1278" s="31">
        <v>0</v>
      </c>
    </row>
    <row r="1279" spans="1:7" x14ac:dyDescent="0.3">
      <c r="A1279" s="3" t="s">
        <v>10</v>
      </c>
      <c r="B1279" s="1">
        <v>210.3</v>
      </c>
      <c r="E1279" s="10" t="s">
        <v>11</v>
      </c>
      <c r="F1279" s="12">
        <f>SUM(F1273:F1278)</f>
        <v>210.3</v>
      </c>
      <c r="G1279" s="84">
        <f>(G1274*$F1274+G1275*$F1275+G1276*$F1276+G1277*$F1277+G1278*$F1278+$F1273*G1273)/$F1279</f>
        <v>61.293390394674269</v>
      </c>
    </row>
    <row r="1280" spans="1:7" x14ac:dyDescent="0.3">
      <c r="A1280" s="3" t="s">
        <v>12</v>
      </c>
      <c r="B1280" s="1" t="s">
        <v>13</v>
      </c>
      <c r="E1280" s="14"/>
      <c r="F1280" s="15"/>
      <c r="G1280" s="81"/>
    </row>
    <row r="1281" spans="1:7" x14ac:dyDescent="0.3">
      <c r="E1281" s="17"/>
      <c r="F1281" s="1"/>
      <c r="G1281" s="79"/>
    </row>
    <row r="1282" spans="1:7" x14ac:dyDescent="0.3">
      <c r="E1282" s="17"/>
      <c r="F1282" s="1"/>
      <c r="G1282" s="82"/>
    </row>
    <row r="1283" spans="1:7" x14ac:dyDescent="0.3">
      <c r="E1283" s="17"/>
      <c r="F1283" s="1"/>
      <c r="G1283" s="82"/>
    </row>
    <row r="1284" spans="1:7" x14ac:dyDescent="0.3">
      <c r="A1284" s="3" t="s">
        <v>755</v>
      </c>
    </row>
    <row r="1285" spans="1:7" x14ac:dyDescent="0.3">
      <c r="A1285" t="s">
        <v>488</v>
      </c>
      <c r="B1285" s="1">
        <v>200</v>
      </c>
      <c r="D1285" s="65" t="s">
        <v>489</v>
      </c>
      <c r="E1285" s="87" t="s">
        <v>823</v>
      </c>
      <c r="F1285" s="9">
        <v>200</v>
      </c>
      <c r="G1285" s="79">
        <v>24</v>
      </c>
    </row>
    <row r="1286" spans="1:7" x14ac:dyDescent="0.3">
      <c r="A1286" t="s">
        <v>41</v>
      </c>
      <c r="B1286" s="1">
        <v>50</v>
      </c>
      <c r="D1286" s="9" t="s">
        <v>42</v>
      </c>
      <c r="E1286" s="8" t="s">
        <v>43</v>
      </c>
      <c r="F1286" s="9">
        <v>50</v>
      </c>
      <c r="G1286" s="31">
        <v>6</v>
      </c>
    </row>
    <row r="1287" spans="1:7" x14ac:dyDescent="0.3">
      <c r="A1287" t="s">
        <v>44</v>
      </c>
      <c r="B1287" s="1">
        <v>10</v>
      </c>
      <c r="D1287" s="9" t="s">
        <v>45</v>
      </c>
      <c r="E1287" s="8" t="s">
        <v>46</v>
      </c>
      <c r="F1287" s="9">
        <v>10</v>
      </c>
      <c r="G1287" s="31">
        <v>899</v>
      </c>
    </row>
    <row r="1288" spans="1:7" x14ac:dyDescent="0.3">
      <c r="A1288" t="s">
        <v>88</v>
      </c>
      <c r="B1288" s="1">
        <v>5</v>
      </c>
      <c r="D1288" s="9" t="s">
        <v>89</v>
      </c>
      <c r="E1288" s="8" t="s">
        <v>90</v>
      </c>
      <c r="F1288" s="9">
        <v>5</v>
      </c>
      <c r="G1288" s="31">
        <v>45</v>
      </c>
    </row>
    <row r="1289" spans="1:7" x14ac:dyDescent="0.3">
      <c r="A1289" t="s">
        <v>24</v>
      </c>
      <c r="B1289" s="1">
        <v>0.3</v>
      </c>
      <c r="D1289" s="9" t="s">
        <v>25</v>
      </c>
      <c r="E1289" s="8" t="s">
        <v>26</v>
      </c>
      <c r="F1289" s="9">
        <v>0.3</v>
      </c>
      <c r="G1289" s="31">
        <v>0</v>
      </c>
    </row>
    <row r="1290" spans="1:7" x14ac:dyDescent="0.3">
      <c r="A1290" t="s">
        <v>71</v>
      </c>
      <c r="B1290" s="1">
        <v>0.1</v>
      </c>
      <c r="D1290" s="9" t="s">
        <v>72</v>
      </c>
      <c r="E1290" s="8" t="s">
        <v>73</v>
      </c>
      <c r="F1290" s="9">
        <v>0.1</v>
      </c>
      <c r="G1290" s="31">
        <v>270</v>
      </c>
    </row>
    <row r="1291" spans="1:7" x14ac:dyDescent="0.3">
      <c r="A1291" s="3" t="s">
        <v>10</v>
      </c>
      <c r="B1291" s="1">
        <v>265.39999999999998</v>
      </c>
      <c r="E1291" s="10" t="s">
        <v>11</v>
      </c>
      <c r="F1291" s="12">
        <f>SUM(F1285:F1290)</f>
        <v>265.40000000000003</v>
      </c>
      <c r="G1291" s="84">
        <f>(F1285*G1285+F1286*G1286+$F1286+G1287*$F1287+G1288*$F1288+G1289*$F1289+G1290*$F1290+$F1285*G1285)/$F1291</f>
        <v>72.313489073097202</v>
      </c>
    </row>
    <row r="1292" spans="1:7" x14ac:dyDescent="0.3">
      <c r="A1292" s="3" t="s">
        <v>12</v>
      </c>
      <c r="B1292" s="1" t="s">
        <v>13</v>
      </c>
      <c r="E1292" s="14"/>
      <c r="F1292" s="15"/>
      <c r="G1292" s="81"/>
    </row>
    <row r="1293" spans="1:7" x14ac:dyDescent="0.3">
      <c r="E1293" s="17"/>
      <c r="F1293" s="1"/>
      <c r="G1293" s="79"/>
    </row>
    <row r="1294" spans="1:7" x14ac:dyDescent="0.3">
      <c r="E1294" s="17"/>
      <c r="F1294" s="1"/>
      <c r="G1294" s="82"/>
    </row>
    <row r="1295" spans="1:7" x14ac:dyDescent="0.3">
      <c r="E1295" s="17"/>
      <c r="F1295" s="1"/>
      <c r="G1295" s="82"/>
    </row>
    <row r="1296" spans="1:7" x14ac:dyDescent="0.3">
      <c r="A1296" s="3" t="s">
        <v>756</v>
      </c>
    </row>
    <row r="1297" spans="1:7" x14ac:dyDescent="0.3">
      <c r="A1297" t="s">
        <v>757</v>
      </c>
      <c r="B1297" s="1">
        <v>125</v>
      </c>
      <c r="D1297" s="9" t="s">
        <v>758</v>
      </c>
      <c r="E1297" s="8" t="s">
        <v>759</v>
      </c>
      <c r="F1297" s="9">
        <v>125</v>
      </c>
      <c r="G1297" s="31">
        <v>66</v>
      </c>
    </row>
    <row r="1298" spans="1:7" x14ac:dyDescent="0.3">
      <c r="A1298" t="s">
        <v>760</v>
      </c>
      <c r="B1298" s="1">
        <v>20</v>
      </c>
      <c r="D1298" s="9" t="s">
        <v>761</v>
      </c>
      <c r="E1298" s="8" t="s">
        <v>762</v>
      </c>
      <c r="F1298" s="9">
        <v>20</v>
      </c>
      <c r="G1298" s="31">
        <v>304</v>
      </c>
    </row>
    <row r="1299" spans="1:7" x14ac:dyDescent="0.3">
      <c r="A1299" s="3" t="s">
        <v>10</v>
      </c>
      <c r="B1299" s="1">
        <v>145</v>
      </c>
      <c r="E1299" s="10" t="s">
        <v>11</v>
      </c>
      <c r="F1299" s="12">
        <f>SUM(F1297:F1298)</f>
        <v>145</v>
      </c>
      <c r="G1299" s="84">
        <f>(G1297*$F1297+G1298*$F1298)/$F1299</f>
        <v>98.827586206896555</v>
      </c>
    </row>
    <row r="1300" spans="1:7" x14ac:dyDescent="0.3">
      <c r="A1300" s="3" t="s">
        <v>12</v>
      </c>
      <c r="B1300" s="1" t="s">
        <v>13</v>
      </c>
      <c r="E1300" s="14"/>
      <c r="F1300" s="15"/>
      <c r="G1300" s="81"/>
    </row>
    <row r="1301" spans="1:7" x14ac:dyDescent="0.3">
      <c r="E1301" s="17"/>
      <c r="F1301" s="1"/>
      <c r="G1301" s="79"/>
    </row>
    <row r="1302" spans="1:7" x14ac:dyDescent="0.3">
      <c r="E1302" s="17"/>
      <c r="F1302" s="1"/>
      <c r="G1302" s="82"/>
    </row>
    <row r="1303" spans="1:7" x14ac:dyDescent="0.3">
      <c r="E1303" s="17"/>
      <c r="F1303" s="1"/>
      <c r="G1303" s="82"/>
    </row>
    <row r="1304" spans="1:7" x14ac:dyDescent="0.3">
      <c r="A1304" s="3" t="s">
        <v>763</v>
      </c>
    </row>
    <row r="1305" spans="1:7" x14ac:dyDescent="0.3">
      <c r="A1305" t="s">
        <v>374</v>
      </c>
      <c r="B1305" s="1">
        <v>200</v>
      </c>
      <c r="D1305" s="9" t="s">
        <v>375</v>
      </c>
      <c r="E1305" s="8" t="s">
        <v>376</v>
      </c>
      <c r="F1305" s="9">
        <v>200</v>
      </c>
      <c r="G1305" s="31">
        <v>14</v>
      </c>
    </row>
    <row r="1306" spans="1:7" x14ac:dyDescent="0.3">
      <c r="A1306" t="s">
        <v>44</v>
      </c>
      <c r="B1306" s="1">
        <v>10</v>
      </c>
      <c r="D1306" s="9" t="s">
        <v>45</v>
      </c>
      <c r="E1306" s="8" t="s">
        <v>46</v>
      </c>
      <c r="F1306" s="9">
        <v>10</v>
      </c>
      <c r="G1306" s="31">
        <v>899</v>
      </c>
    </row>
    <row r="1307" spans="1:7" x14ac:dyDescent="0.3">
      <c r="A1307" t="s">
        <v>105</v>
      </c>
      <c r="B1307" s="1">
        <v>5</v>
      </c>
      <c r="D1307" s="9" t="s">
        <v>106</v>
      </c>
      <c r="E1307" s="8" t="s">
        <v>107</v>
      </c>
      <c r="F1307" s="9">
        <v>5</v>
      </c>
      <c r="G1307" s="31">
        <v>30</v>
      </c>
    </row>
    <row r="1308" spans="1:7" x14ac:dyDescent="0.3">
      <c r="A1308" t="s">
        <v>24</v>
      </c>
      <c r="B1308" s="1">
        <v>0.3</v>
      </c>
      <c r="D1308" s="9" t="s">
        <v>25</v>
      </c>
      <c r="E1308" s="8" t="s">
        <v>26</v>
      </c>
      <c r="F1308" s="9">
        <v>0.3</v>
      </c>
      <c r="G1308" s="31">
        <v>0</v>
      </c>
    </row>
    <row r="1309" spans="1:7" x14ac:dyDescent="0.3">
      <c r="A1309" t="s">
        <v>71</v>
      </c>
      <c r="B1309" s="1">
        <v>0.1</v>
      </c>
      <c r="D1309" s="9" t="s">
        <v>72</v>
      </c>
      <c r="E1309" s="8" t="s">
        <v>73</v>
      </c>
      <c r="F1309" s="9">
        <v>0.1</v>
      </c>
      <c r="G1309" s="31">
        <v>270</v>
      </c>
    </row>
    <row r="1310" spans="1:7" x14ac:dyDescent="0.3">
      <c r="A1310" s="3" t="s">
        <v>10</v>
      </c>
      <c r="B1310" s="1">
        <v>215.4</v>
      </c>
      <c r="E1310" s="10" t="s">
        <v>11</v>
      </c>
      <c r="F1310" s="12">
        <f>SUM(F1305:F1309)</f>
        <v>215.4</v>
      </c>
      <c r="G1310" s="84">
        <f>(G1305*$F1305+G1306*$F1306+G1307*$F1307+G1308*$F1308+G1309*$F1309)/$F1310</f>
        <v>55.557103064066851</v>
      </c>
    </row>
    <row r="1311" spans="1:7" x14ac:dyDescent="0.3">
      <c r="A1311" s="3" t="s">
        <v>12</v>
      </c>
      <c r="B1311" s="1" t="s">
        <v>13</v>
      </c>
      <c r="E1311" s="14"/>
      <c r="F1311" s="15"/>
      <c r="G1311" s="81"/>
    </row>
    <row r="1312" spans="1:7" x14ac:dyDescent="0.3">
      <c r="E1312" s="17"/>
      <c r="F1312" s="1"/>
      <c r="G1312" s="79"/>
    </row>
    <row r="1313" spans="1:7" x14ac:dyDescent="0.3">
      <c r="E1313" s="17"/>
      <c r="F1313" s="1"/>
      <c r="G1313" s="82"/>
    </row>
    <row r="1314" spans="1:7" x14ac:dyDescent="0.3">
      <c r="A1314" s="3" t="s">
        <v>764</v>
      </c>
    </row>
    <row r="1315" spans="1:7" x14ac:dyDescent="0.3">
      <c r="A1315" t="s">
        <v>374</v>
      </c>
      <c r="B1315" s="1">
        <v>200</v>
      </c>
      <c r="D1315" s="9" t="s">
        <v>375</v>
      </c>
      <c r="E1315" s="8" t="s">
        <v>376</v>
      </c>
      <c r="F1315" s="9">
        <v>200</v>
      </c>
      <c r="G1315" s="31">
        <v>14</v>
      </c>
    </row>
    <row r="1316" spans="1:7" x14ac:dyDescent="0.3">
      <c r="A1316" t="s">
        <v>88</v>
      </c>
      <c r="B1316" s="1">
        <v>5</v>
      </c>
      <c r="D1316" s="9" t="s">
        <v>89</v>
      </c>
      <c r="E1316" s="8" t="s">
        <v>90</v>
      </c>
      <c r="F1316" s="9">
        <v>5</v>
      </c>
      <c r="G1316" s="31">
        <v>45</v>
      </c>
    </row>
    <row r="1317" spans="1:7" x14ac:dyDescent="0.3">
      <c r="A1317" t="s">
        <v>44</v>
      </c>
      <c r="B1317" s="1">
        <v>10</v>
      </c>
      <c r="D1317" s="9" t="s">
        <v>45</v>
      </c>
      <c r="E1317" s="8" t="s">
        <v>46</v>
      </c>
      <c r="F1317" s="9">
        <v>10</v>
      </c>
      <c r="G1317" s="31">
        <v>899</v>
      </c>
    </row>
    <row r="1318" spans="1:7" x14ac:dyDescent="0.3">
      <c r="A1318" t="s">
        <v>105</v>
      </c>
      <c r="B1318" s="1">
        <v>5</v>
      </c>
      <c r="D1318" s="9" t="s">
        <v>106</v>
      </c>
      <c r="E1318" s="8" t="s">
        <v>107</v>
      </c>
      <c r="F1318" s="9">
        <v>5</v>
      </c>
      <c r="G1318" s="31">
        <v>30</v>
      </c>
    </row>
    <row r="1319" spans="1:7" x14ac:dyDescent="0.3">
      <c r="A1319" t="s">
        <v>24</v>
      </c>
      <c r="B1319" s="1">
        <v>0.3</v>
      </c>
      <c r="D1319" s="9" t="s">
        <v>25</v>
      </c>
      <c r="E1319" s="8" t="s">
        <v>26</v>
      </c>
      <c r="F1319" s="9">
        <v>0.3</v>
      </c>
      <c r="G1319" s="31">
        <v>0</v>
      </c>
    </row>
    <row r="1320" spans="1:7" x14ac:dyDescent="0.3">
      <c r="A1320" t="s">
        <v>71</v>
      </c>
      <c r="B1320" s="1">
        <v>0.1</v>
      </c>
      <c r="D1320" s="9" t="s">
        <v>72</v>
      </c>
      <c r="E1320" s="8" t="s">
        <v>73</v>
      </c>
      <c r="F1320" s="9">
        <v>0.1</v>
      </c>
      <c r="G1320" s="31">
        <v>270</v>
      </c>
    </row>
    <row r="1321" spans="1:7" x14ac:dyDescent="0.3">
      <c r="A1321" s="3" t="s">
        <v>10</v>
      </c>
      <c r="B1321" s="1">
        <v>220.4</v>
      </c>
      <c r="E1321" s="10" t="s">
        <v>11</v>
      </c>
      <c r="F1321" s="12">
        <f>SUM(F1315:F1320)</f>
        <v>220.4</v>
      </c>
      <c r="G1321" s="84">
        <f>(G1316*$F1316+G1317*$F1317+G1318*$F1318+G1319*$F1319+G1320*$F1320+$F1315*G1315)/$F1321</f>
        <v>55.317604355716874</v>
      </c>
    </row>
    <row r="1322" spans="1:7" x14ac:dyDescent="0.3">
      <c r="A1322" s="3" t="s">
        <v>12</v>
      </c>
      <c r="B1322" s="1" t="s">
        <v>13</v>
      </c>
      <c r="E1322" s="14"/>
      <c r="F1322" s="15"/>
      <c r="G1322" s="81"/>
    </row>
    <row r="1323" spans="1:7" x14ac:dyDescent="0.3">
      <c r="E1323" s="17"/>
      <c r="F1323" s="1"/>
      <c r="G1323" s="79"/>
    </row>
    <row r="1324" spans="1:7" x14ac:dyDescent="0.3">
      <c r="E1324" s="17"/>
      <c r="F1324" s="1"/>
      <c r="G1324" s="82"/>
    </row>
    <row r="1325" spans="1:7" x14ac:dyDescent="0.3">
      <c r="A1325" s="3" t="s">
        <v>765</v>
      </c>
    </row>
    <row r="1326" spans="1:7" x14ac:dyDescent="0.3">
      <c r="A1326" t="s">
        <v>126</v>
      </c>
      <c r="B1326" s="1">
        <v>200</v>
      </c>
      <c r="D1326" s="9" t="s">
        <v>127</v>
      </c>
      <c r="E1326" s="8" t="s">
        <v>128</v>
      </c>
      <c r="F1326" s="9">
        <v>200</v>
      </c>
      <c r="G1326" s="31">
        <v>28</v>
      </c>
    </row>
    <row r="1327" spans="1:7" x14ac:dyDescent="0.3">
      <c r="A1327" t="s">
        <v>262</v>
      </c>
      <c r="B1327" s="1">
        <v>125</v>
      </c>
      <c r="D1327" s="9" t="s">
        <v>263</v>
      </c>
      <c r="E1327" s="8" t="s">
        <v>264</v>
      </c>
      <c r="F1327" s="9">
        <v>125</v>
      </c>
      <c r="G1327" s="31">
        <v>5</v>
      </c>
    </row>
    <row r="1328" spans="1:7" x14ac:dyDescent="0.3">
      <c r="A1328" t="s">
        <v>44</v>
      </c>
      <c r="B1328" s="1">
        <v>10</v>
      </c>
      <c r="D1328" s="9" t="s">
        <v>45</v>
      </c>
      <c r="E1328" s="8" t="s">
        <v>46</v>
      </c>
      <c r="F1328" s="9">
        <v>10</v>
      </c>
      <c r="G1328" s="31">
        <v>899</v>
      </c>
    </row>
    <row r="1329" spans="1:7" x14ac:dyDescent="0.3">
      <c r="A1329" t="s">
        <v>429</v>
      </c>
      <c r="B1329" s="1">
        <v>25</v>
      </c>
      <c r="D1329" s="9" t="s">
        <v>430</v>
      </c>
      <c r="E1329" s="8" t="s">
        <v>431</v>
      </c>
      <c r="F1329" s="9">
        <v>25</v>
      </c>
      <c r="G1329" s="31">
        <v>343</v>
      </c>
    </row>
    <row r="1330" spans="1:7" x14ac:dyDescent="0.3">
      <c r="A1330" t="s">
        <v>66</v>
      </c>
      <c r="B1330" s="1">
        <v>5</v>
      </c>
      <c r="D1330" s="9" t="s">
        <v>67</v>
      </c>
      <c r="E1330" s="8" t="s">
        <v>68</v>
      </c>
      <c r="F1330" s="9">
        <v>5</v>
      </c>
      <c r="G1330" s="31">
        <v>323</v>
      </c>
    </row>
    <row r="1331" spans="1:7" x14ac:dyDescent="0.3">
      <c r="A1331" t="s">
        <v>71</v>
      </c>
      <c r="B1331" s="1">
        <v>0.1</v>
      </c>
      <c r="D1331" s="9" t="s">
        <v>72</v>
      </c>
      <c r="E1331" s="8" t="s">
        <v>73</v>
      </c>
      <c r="F1331" s="9">
        <v>0.1</v>
      </c>
      <c r="G1331" s="31">
        <v>270</v>
      </c>
    </row>
    <row r="1332" spans="1:7" x14ac:dyDescent="0.3">
      <c r="A1332" s="3" t="s">
        <v>10</v>
      </c>
      <c r="B1332" s="1">
        <v>365.1</v>
      </c>
      <c r="E1332" s="10" t="s">
        <v>11</v>
      </c>
      <c r="F1332" s="12">
        <f>SUM(F1326:F1331)</f>
        <v>365.1</v>
      </c>
      <c r="G1332" s="84">
        <f>(G1327*$F1327+G1328*$F1328+G1329*$F1329+G1330*$F1330+G1331*$F1331+$F1326*G1326)/$F1332</f>
        <v>69.657628047110379</v>
      </c>
    </row>
    <row r="1333" spans="1:7" x14ac:dyDescent="0.3">
      <c r="A1333" s="3" t="s">
        <v>12</v>
      </c>
      <c r="B1333" s="1" t="s">
        <v>13</v>
      </c>
      <c r="E1333" s="14"/>
      <c r="F1333" s="15"/>
      <c r="G1333" s="81"/>
    </row>
    <row r="1334" spans="1:7" x14ac:dyDescent="0.3">
      <c r="E1334" s="17"/>
      <c r="F1334" s="1"/>
      <c r="G1334" s="79"/>
    </row>
    <row r="1335" spans="1:7" x14ac:dyDescent="0.3">
      <c r="E1335" s="17"/>
      <c r="F1335" s="1"/>
      <c r="G1335" s="82"/>
    </row>
    <row r="1336" spans="1:7" x14ac:dyDescent="0.3">
      <c r="A1336" s="3" t="s">
        <v>766</v>
      </c>
    </row>
    <row r="1337" spans="1:7" x14ac:dyDescent="0.3">
      <c r="A1337" t="s">
        <v>453</v>
      </c>
      <c r="B1337" s="1">
        <v>20</v>
      </c>
      <c r="D1337" s="9" t="s">
        <v>454</v>
      </c>
      <c r="E1337" s="8" t="s">
        <v>455</v>
      </c>
      <c r="F1337" s="9">
        <v>20</v>
      </c>
      <c r="G1337" s="31">
        <v>352</v>
      </c>
    </row>
    <row r="1338" spans="1:7" x14ac:dyDescent="0.3">
      <c r="A1338" t="s">
        <v>266</v>
      </c>
      <c r="B1338" s="1">
        <v>10</v>
      </c>
      <c r="D1338" s="9" t="s">
        <v>267</v>
      </c>
      <c r="E1338" s="8" t="s">
        <v>268</v>
      </c>
      <c r="F1338" s="9">
        <v>10</v>
      </c>
      <c r="G1338" s="31">
        <v>345</v>
      </c>
    </row>
    <row r="1339" spans="1:7" x14ac:dyDescent="0.3">
      <c r="A1339" t="s">
        <v>210</v>
      </c>
      <c r="B1339" s="1">
        <v>10</v>
      </c>
      <c r="D1339" s="9" t="s">
        <v>211</v>
      </c>
      <c r="E1339" s="8" t="s">
        <v>212</v>
      </c>
      <c r="F1339" s="9">
        <v>10</v>
      </c>
      <c r="G1339" s="31">
        <v>363</v>
      </c>
    </row>
    <row r="1340" spans="1:7" x14ac:dyDescent="0.3">
      <c r="A1340" t="s">
        <v>767</v>
      </c>
      <c r="B1340" s="1">
        <v>10</v>
      </c>
      <c r="D1340" s="9" t="s">
        <v>768</v>
      </c>
      <c r="E1340" s="8" t="s">
        <v>769</v>
      </c>
      <c r="F1340" s="9">
        <v>10</v>
      </c>
      <c r="G1340" s="31">
        <v>337</v>
      </c>
    </row>
    <row r="1341" spans="1:7" x14ac:dyDescent="0.3">
      <c r="A1341" t="s">
        <v>126</v>
      </c>
      <c r="B1341" s="1">
        <v>20</v>
      </c>
      <c r="D1341" s="9" t="s">
        <v>127</v>
      </c>
      <c r="E1341" s="8" t="s">
        <v>128</v>
      </c>
      <c r="F1341" s="9">
        <v>20</v>
      </c>
      <c r="G1341" s="31">
        <v>28</v>
      </c>
    </row>
    <row r="1342" spans="1:7" x14ac:dyDescent="0.3">
      <c r="A1342" t="s">
        <v>129</v>
      </c>
      <c r="B1342" s="1">
        <v>20</v>
      </c>
      <c r="D1342" s="9" t="s">
        <v>130</v>
      </c>
      <c r="E1342" s="8" t="s">
        <v>131</v>
      </c>
      <c r="F1342" s="9">
        <v>20</v>
      </c>
      <c r="G1342" s="31">
        <v>23</v>
      </c>
    </row>
    <row r="1343" spans="1:7" x14ac:dyDescent="0.3">
      <c r="A1343" t="s">
        <v>488</v>
      </c>
      <c r="B1343" s="1">
        <v>20</v>
      </c>
      <c r="D1343" s="65" t="s">
        <v>489</v>
      </c>
      <c r="E1343" s="87" t="s">
        <v>823</v>
      </c>
      <c r="F1343" s="9">
        <v>20</v>
      </c>
      <c r="G1343" s="79">
        <v>24</v>
      </c>
    </row>
    <row r="1344" spans="1:7" x14ac:dyDescent="0.3">
      <c r="A1344" t="s">
        <v>123</v>
      </c>
      <c r="B1344" s="1">
        <v>20</v>
      </c>
      <c r="D1344" s="9" t="s">
        <v>124</v>
      </c>
      <c r="E1344" s="8" t="s">
        <v>125</v>
      </c>
      <c r="F1344" s="9">
        <v>20</v>
      </c>
      <c r="G1344" s="31">
        <v>39</v>
      </c>
    </row>
    <row r="1345" spans="1:7" x14ac:dyDescent="0.3">
      <c r="A1345" t="s">
        <v>770</v>
      </c>
      <c r="B1345" s="1">
        <v>20</v>
      </c>
      <c r="D1345" s="9" t="s">
        <v>247</v>
      </c>
      <c r="E1345" s="8" t="s">
        <v>248</v>
      </c>
      <c r="F1345" s="9">
        <v>20</v>
      </c>
      <c r="G1345" s="31">
        <v>19</v>
      </c>
    </row>
    <row r="1346" spans="1:7" x14ac:dyDescent="0.3">
      <c r="A1346" t="s">
        <v>44</v>
      </c>
      <c r="B1346" s="1">
        <v>10</v>
      </c>
      <c r="D1346" s="9" t="s">
        <v>45</v>
      </c>
      <c r="E1346" s="8" t="s">
        <v>46</v>
      </c>
      <c r="F1346" s="9">
        <v>10</v>
      </c>
      <c r="G1346" s="31">
        <v>899</v>
      </c>
    </row>
    <row r="1347" spans="1:7" x14ac:dyDescent="0.3">
      <c r="A1347" t="s">
        <v>139</v>
      </c>
      <c r="B1347" s="1">
        <v>5</v>
      </c>
      <c r="D1347" s="9" t="s">
        <v>140</v>
      </c>
      <c r="E1347" s="8" t="s">
        <v>141</v>
      </c>
      <c r="F1347" s="9">
        <v>5</v>
      </c>
      <c r="G1347" s="31">
        <v>387</v>
      </c>
    </row>
    <row r="1348" spans="1:7" x14ac:dyDescent="0.3">
      <c r="A1348" t="s">
        <v>71</v>
      </c>
      <c r="B1348" s="1">
        <v>0.1</v>
      </c>
      <c r="D1348" s="9" t="s">
        <v>72</v>
      </c>
      <c r="E1348" s="8" t="s">
        <v>73</v>
      </c>
      <c r="F1348" s="9">
        <v>0.1</v>
      </c>
      <c r="G1348" s="31">
        <v>270</v>
      </c>
    </row>
    <row r="1349" spans="1:7" x14ac:dyDescent="0.3">
      <c r="A1349" t="s">
        <v>262</v>
      </c>
      <c r="B1349" s="1">
        <v>125</v>
      </c>
      <c r="D1349" s="9" t="s">
        <v>263</v>
      </c>
      <c r="E1349" s="8" t="s">
        <v>264</v>
      </c>
      <c r="F1349" s="9">
        <v>125</v>
      </c>
      <c r="G1349" s="31">
        <v>5</v>
      </c>
    </row>
    <row r="1350" spans="1:7" x14ac:dyDescent="0.3">
      <c r="A1350" s="3" t="s">
        <v>10</v>
      </c>
      <c r="B1350" s="1">
        <v>290.10000000000002</v>
      </c>
      <c r="E1350" s="10" t="s">
        <v>11</v>
      </c>
      <c r="F1350" s="12">
        <f>SUM(F1337:F1349)</f>
        <v>290.10000000000002</v>
      </c>
      <c r="G1350" s="84">
        <f>(G1345*$F1345+G1346*$F1346+G1347*$F1347+G1348*$F1348+G1349*$F1349+$F1343*G1343+$F1344*G1344+$F1342*G1342+$F1341*G1341+$F1340*G1340+G1339*$F1339+G1338*$F1338+G1337*$F1337)/$F1350</f>
        <v>109.36573595311961</v>
      </c>
    </row>
    <row r="1351" spans="1:7" x14ac:dyDescent="0.3">
      <c r="A1351" s="3" t="s">
        <v>12</v>
      </c>
      <c r="B1351" s="1" t="s">
        <v>13</v>
      </c>
      <c r="E1351" s="14"/>
      <c r="F1351" s="15"/>
      <c r="G1351" s="81"/>
    </row>
    <row r="1352" spans="1:7" x14ac:dyDescent="0.3">
      <c r="E1352" s="17"/>
      <c r="F1352" s="1"/>
      <c r="G1352" s="79"/>
    </row>
    <row r="1353" spans="1:7" x14ac:dyDescent="0.3">
      <c r="E1353" s="17"/>
      <c r="F1353" s="1"/>
      <c r="G1353" s="82"/>
    </row>
    <row r="1354" spans="1:7" x14ac:dyDescent="0.3">
      <c r="A1354" s="3" t="s">
        <v>771</v>
      </c>
    </row>
    <row r="1355" spans="1:7" x14ac:dyDescent="0.3">
      <c r="A1355" t="s">
        <v>453</v>
      </c>
      <c r="B1355" s="1">
        <v>10</v>
      </c>
      <c r="D1355" s="9" t="s">
        <v>454</v>
      </c>
      <c r="E1355" s="8" t="s">
        <v>455</v>
      </c>
      <c r="F1355" s="9">
        <v>10</v>
      </c>
      <c r="G1355" s="31">
        <v>352</v>
      </c>
    </row>
    <row r="1356" spans="1:7" x14ac:dyDescent="0.3">
      <c r="A1356" t="s">
        <v>266</v>
      </c>
      <c r="B1356" s="1">
        <v>20</v>
      </c>
      <c r="D1356" s="9" t="s">
        <v>267</v>
      </c>
      <c r="E1356" s="8" t="s">
        <v>268</v>
      </c>
      <c r="F1356" s="9">
        <v>20</v>
      </c>
      <c r="G1356" s="31">
        <v>345</v>
      </c>
    </row>
    <row r="1357" spans="1:7" x14ac:dyDescent="0.3">
      <c r="A1357" t="s">
        <v>210</v>
      </c>
      <c r="B1357" s="1">
        <v>10</v>
      </c>
      <c r="D1357" s="9" t="s">
        <v>211</v>
      </c>
      <c r="E1357" s="8" t="s">
        <v>212</v>
      </c>
      <c r="F1357" s="9">
        <v>10</v>
      </c>
      <c r="G1357" s="31">
        <v>363</v>
      </c>
    </row>
    <row r="1358" spans="1:7" x14ac:dyDescent="0.3">
      <c r="A1358" t="s">
        <v>767</v>
      </c>
      <c r="B1358" s="1">
        <v>10</v>
      </c>
      <c r="D1358" s="9" t="s">
        <v>768</v>
      </c>
      <c r="E1358" s="8" t="s">
        <v>769</v>
      </c>
      <c r="F1358" s="9">
        <v>10</v>
      </c>
      <c r="G1358" s="31">
        <v>337</v>
      </c>
    </row>
    <row r="1359" spans="1:7" x14ac:dyDescent="0.3">
      <c r="A1359" t="s">
        <v>861</v>
      </c>
      <c r="B1359" s="1">
        <v>25</v>
      </c>
      <c r="D1359" s="9" t="s">
        <v>380</v>
      </c>
      <c r="E1359" s="8" t="s">
        <v>861</v>
      </c>
      <c r="F1359" s="9">
        <v>25</v>
      </c>
      <c r="G1359" s="31">
        <v>346</v>
      </c>
    </row>
    <row r="1360" spans="1:7" x14ac:dyDescent="0.3">
      <c r="A1360" t="s">
        <v>126</v>
      </c>
      <c r="B1360" s="1">
        <v>20</v>
      </c>
      <c r="D1360" s="9" t="s">
        <v>127</v>
      </c>
      <c r="E1360" s="8" t="s">
        <v>128</v>
      </c>
      <c r="F1360" s="9">
        <v>20</v>
      </c>
      <c r="G1360" s="31">
        <v>28</v>
      </c>
    </row>
    <row r="1361" spans="1:7" x14ac:dyDescent="0.3">
      <c r="A1361" t="s">
        <v>129</v>
      </c>
      <c r="B1361" s="1">
        <v>20</v>
      </c>
      <c r="D1361" s="9" t="s">
        <v>130</v>
      </c>
      <c r="E1361" s="8" t="s">
        <v>131</v>
      </c>
      <c r="F1361" s="9">
        <v>20</v>
      </c>
      <c r="G1361" s="31">
        <v>23</v>
      </c>
    </row>
    <row r="1362" spans="1:7" x14ac:dyDescent="0.3">
      <c r="A1362" t="s">
        <v>123</v>
      </c>
      <c r="B1362" s="1">
        <v>20</v>
      </c>
      <c r="D1362" s="9" t="s">
        <v>124</v>
      </c>
      <c r="E1362" s="8" t="s">
        <v>125</v>
      </c>
      <c r="F1362" s="9">
        <v>20</v>
      </c>
      <c r="G1362" s="31">
        <v>39</v>
      </c>
    </row>
    <row r="1363" spans="1:7" x14ac:dyDescent="0.3">
      <c r="A1363" t="s">
        <v>44</v>
      </c>
      <c r="B1363" s="1">
        <v>10</v>
      </c>
      <c r="D1363" s="9" t="s">
        <v>45</v>
      </c>
      <c r="E1363" s="8" t="s">
        <v>46</v>
      </c>
      <c r="F1363" s="9">
        <v>10</v>
      </c>
      <c r="G1363" s="31">
        <v>899</v>
      </c>
    </row>
    <row r="1364" spans="1:7" x14ac:dyDescent="0.3">
      <c r="A1364" t="s">
        <v>71</v>
      </c>
      <c r="B1364" s="1">
        <v>0.1</v>
      </c>
      <c r="D1364" s="9" t="s">
        <v>72</v>
      </c>
      <c r="E1364" s="8" t="s">
        <v>73</v>
      </c>
      <c r="F1364" s="9">
        <v>0.1</v>
      </c>
      <c r="G1364" s="31">
        <v>270</v>
      </c>
    </row>
    <row r="1365" spans="1:7" x14ac:dyDescent="0.3">
      <c r="A1365" t="s">
        <v>139</v>
      </c>
      <c r="B1365" s="1">
        <v>5</v>
      </c>
      <c r="D1365" s="9" t="s">
        <v>140</v>
      </c>
      <c r="E1365" s="8" t="s">
        <v>141</v>
      </c>
      <c r="F1365" s="9">
        <v>5</v>
      </c>
      <c r="G1365" s="31">
        <v>387</v>
      </c>
    </row>
    <row r="1366" spans="1:7" x14ac:dyDescent="0.3">
      <c r="A1366" t="s">
        <v>262</v>
      </c>
      <c r="B1366" s="1">
        <v>125</v>
      </c>
      <c r="D1366" s="9" t="s">
        <v>263</v>
      </c>
      <c r="E1366" s="8" t="s">
        <v>264</v>
      </c>
      <c r="F1366" s="9">
        <v>125</v>
      </c>
      <c r="G1366" s="31">
        <v>5</v>
      </c>
    </row>
    <row r="1367" spans="1:7" x14ac:dyDescent="0.3">
      <c r="A1367" s="3" t="s">
        <v>10</v>
      </c>
      <c r="B1367" s="2">
        <v>275.10000000000002</v>
      </c>
      <c r="E1367" s="10" t="s">
        <v>11</v>
      </c>
      <c r="F1367" s="12">
        <f>SUM(F1355:F1366)</f>
        <v>275.10000000000002</v>
      </c>
      <c r="G1367" s="84">
        <f>(G1362*$F1362+G1363*$F1363+G1364*$F1364+G1365*$F1365+G1366*$F1366+$F1360*G1360+$F1361*G1361+$F1359*G1359+$F1358*G1358+$F1357*G1357+G1356*$F1356+G1355*$F1355)/$F1367</f>
        <v>143.39149400218102</v>
      </c>
    </row>
    <row r="1368" spans="1:7" x14ac:dyDescent="0.3">
      <c r="A1368" s="3" t="s">
        <v>12</v>
      </c>
      <c r="B1368" s="2" t="s">
        <v>13</v>
      </c>
      <c r="E1368" s="14"/>
      <c r="F1368" s="15"/>
      <c r="G1368" s="81"/>
    </row>
    <row r="1369" spans="1:7" x14ac:dyDescent="0.3">
      <c r="E1369" s="17"/>
      <c r="F1369" s="1"/>
      <c r="G1369" s="79"/>
    </row>
    <row r="1370" spans="1:7" x14ac:dyDescent="0.3">
      <c r="E1370" s="17"/>
      <c r="F1370" s="1"/>
      <c r="G1370" s="82"/>
    </row>
    <row r="1371" spans="1:7" x14ac:dyDescent="0.3">
      <c r="A1371" s="3" t="s">
        <v>772</v>
      </c>
    </row>
    <row r="1372" spans="1:7" x14ac:dyDescent="0.3">
      <c r="A1372" t="s">
        <v>773</v>
      </c>
      <c r="B1372" s="1">
        <v>150</v>
      </c>
      <c r="D1372" s="9" t="s">
        <v>774</v>
      </c>
      <c r="E1372" s="8" t="s">
        <v>868</v>
      </c>
      <c r="F1372" s="9">
        <v>150</v>
      </c>
      <c r="G1372" s="31">
        <v>105</v>
      </c>
    </row>
    <row r="1373" spans="1:7" x14ac:dyDescent="0.3">
      <c r="A1373" t="s">
        <v>869</v>
      </c>
      <c r="B1373" s="1">
        <v>75</v>
      </c>
      <c r="D1373" s="9" t="s">
        <v>775</v>
      </c>
      <c r="E1373" s="8" t="s">
        <v>869</v>
      </c>
      <c r="F1373" s="9">
        <v>75</v>
      </c>
      <c r="G1373" s="31">
        <v>71</v>
      </c>
    </row>
    <row r="1374" spans="1:7" x14ac:dyDescent="0.3">
      <c r="A1374" t="s">
        <v>105</v>
      </c>
      <c r="B1374" s="1">
        <v>4</v>
      </c>
      <c r="D1374" s="9" t="s">
        <v>106</v>
      </c>
      <c r="E1374" s="8" t="s">
        <v>107</v>
      </c>
      <c r="F1374" s="9">
        <v>4</v>
      </c>
      <c r="G1374" s="31">
        <v>30</v>
      </c>
    </row>
    <row r="1375" spans="1:7" x14ac:dyDescent="0.3">
      <c r="A1375" t="s">
        <v>126</v>
      </c>
      <c r="B1375" s="1">
        <v>30</v>
      </c>
      <c r="D1375" s="9" t="s">
        <v>127</v>
      </c>
      <c r="E1375" s="8" t="s">
        <v>128</v>
      </c>
      <c r="F1375" s="9">
        <v>30</v>
      </c>
      <c r="G1375" s="31">
        <v>28</v>
      </c>
    </row>
    <row r="1376" spans="1:7" x14ac:dyDescent="0.3">
      <c r="A1376" t="s">
        <v>88</v>
      </c>
      <c r="B1376" s="1">
        <v>2</v>
      </c>
      <c r="D1376" s="9" t="s">
        <v>89</v>
      </c>
      <c r="E1376" s="8" t="s">
        <v>90</v>
      </c>
      <c r="F1376" s="9">
        <v>2</v>
      </c>
      <c r="G1376" s="31">
        <v>45</v>
      </c>
    </row>
    <row r="1377" spans="1:7" x14ac:dyDescent="0.3">
      <c r="A1377" t="s">
        <v>129</v>
      </c>
      <c r="B1377" s="1">
        <v>20</v>
      </c>
      <c r="D1377" s="9" t="s">
        <v>130</v>
      </c>
      <c r="E1377" s="8" t="s">
        <v>131</v>
      </c>
      <c r="F1377" s="9">
        <v>20</v>
      </c>
      <c r="G1377" s="31">
        <v>23</v>
      </c>
    </row>
    <row r="1378" spans="1:7" x14ac:dyDescent="0.3">
      <c r="A1378" t="s">
        <v>44</v>
      </c>
      <c r="B1378" s="1">
        <v>10</v>
      </c>
      <c r="D1378" s="9" t="s">
        <v>45</v>
      </c>
      <c r="E1378" s="8" t="s">
        <v>46</v>
      </c>
      <c r="F1378" s="9">
        <v>10</v>
      </c>
      <c r="G1378" s="31">
        <v>899</v>
      </c>
    </row>
    <row r="1379" spans="1:7" x14ac:dyDescent="0.3">
      <c r="A1379" t="s">
        <v>825</v>
      </c>
      <c r="B1379" s="1">
        <v>60</v>
      </c>
      <c r="D1379" s="65" t="s">
        <v>213</v>
      </c>
      <c r="E1379" s="8" t="s">
        <v>825</v>
      </c>
      <c r="F1379" s="9">
        <v>60</v>
      </c>
      <c r="G1379" s="83">
        <v>36</v>
      </c>
    </row>
    <row r="1380" spans="1:7" x14ac:dyDescent="0.3">
      <c r="A1380" t="s">
        <v>24</v>
      </c>
      <c r="B1380" s="1">
        <v>0.3</v>
      </c>
      <c r="D1380" s="9" t="s">
        <v>25</v>
      </c>
      <c r="E1380" s="8" t="s">
        <v>26</v>
      </c>
      <c r="F1380" s="9">
        <v>0.3</v>
      </c>
      <c r="G1380" s="31">
        <v>0</v>
      </c>
    </row>
    <row r="1381" spans="1:7" x14ac:dyDescent="0.3">
      <c r="A1381" t="s">
        <v>71</v>
      </c>
      <c r="B1381" s="1">
        <v>0.1</v>
      </c>
      <c r="D1381" s="9" t="s">
        <v>72</v>
      </c>
      <c r="E1381" s="8" t="s">
        <v>73</v>
      </c>
      <c r="F1381" s="9">
        <v>0.1</v>
      </c>
      <c r="G1381" s="31">
        <v>270</v>
      </c>
    </row>
    <row r="1382" spans="1:7" x14ac:dyDescent="0.3">
      <c r="A1382" s="3" t="s">
        <v>10</v>
      </c>
      <c r="B1382" s="2">
        <v>351.4</v>
      </c>
      <c r="E1382" s="10" t="s">
        <v>11</v>
      </c>
      <c r="F1382" s="12">
        <f>SUM(F1372:F1381)</f>
        <v>351.40000000000003</v>
      </c>
      <c r="G1382" s="84">
        <f>(G1377*$F1377+G1378*$F1378+G1379*$F1379+G1380*$F1380+G1381*$F1381+$F1375*G1375+$F1376*G1376+$F1374*G1374+$F1373*G1373+$F1372*G1372)/$F1382</f>
        <v>96.078542970973245</v>
      </c>
    </row>
    <row r="1383" spans="1:7" x14ac:dyDescent="0.3">
      <c r="A1383" s="3" t="s">
        <v>12</v>
      </c>
      <c r="B1383" s="2" t="s">
        <v>13</v>
      </c>
      <c r="E1383" s="14"/>
      <c r="F1383" s="15"/>
      <c r="G1383" s="86"/>
    </row>
    <row r="1384" spans="1:7" x14ac:dyDescent="0.3">
      <c r="E1384" s="17"/>
      <c r="F1384" s="1"/>
      <c r="G1384" s="79"/>
    </row>
    <row r="1385" spans="1:7" x14ac:dyDescent="0.3">
      <c r="E1385" s="17"/>
      <c r="F1385" s="1"/>
      <c r="G1385" s="82"/>
    </row>
    <row r="1386" spans="1:7" x14ac:dyDescent="0.3">
      <c r="E1386" s="17"/>
      <c r="F1386" s="1"/>
      <c r="G1386" s="82"/>
    </row>
    <row r="1387" spans="1:7" x14ac:dyDescent="0.3">
      <c r="A1387" s="3" t="s">
        <v>776</v>
      </c>
    </row>
    <row r="1388" spans="1:7" x14ac:dyDescent="0.3">
      <c r="A1388" t="s">
        <v>283</v>
      </c>
      <c r="B1388" s="1">
        <v>100</v>
      </c>
      <c r="D1388" s="9" t="s">
        <v>284</v>
      </c>
      <c r="E1388" s="8" t="s">
        <v>285</v>
      </c>
      <c r="F1388" s="9">
        <v>100</v>
      </c>
      <c r="G1388" s="31">
        <v>35</v>
      </c>
    </row>
    <row r="1389" spans="1:7" x14ac:dyDescent="0.3">
      <c r="A1389" t="s">
        <v>488</v>
      </c>
      <c r="B1389" s="1">
        <v>100</v>
      </c>
      <c r="D1389" s="65" t="s">
        <v>489</v>
      </c>
      <c r="E1389" s="87" t="s">
        <v>823</v>
      </c>
      <c r="F1389" s="9">
        <v>100</v>
      </c>
      <c r="G1389" s="79">
        <v>24</v>
      </c>
    </row>
    <row r="1390" spans="1:7" x14ac:dyDescent="0.3">
      <c r="A1390" t="s">
        <v>274</v>
      </c>
      <c r="B1390" s="1">
        <v>50</v>
      </c>
      <c r="D1390" s="9" t="s">
        <v>275</v>
      </c>
      <c r="E1390" s="8" t="s">
        <v>276</v>
      </c>
      <c r="F1390" s="9">
        <v>50</v>
      </c>
      <c r="G1390" s="31">
        <v>80</v>
      </c>
    </row>
    <row r="1391" spans="1:7" x14ac:dyDescent="0.3">
      <c r="A1391" t="s">
        <v>262</v>
      </c>
      <c r="B1391" s="1">
        <v>125</v>
      </c>
      <c r="D1391" s="9" t="s">
        <v>263</v>
      </c>
      <c r="E1391" s="8" t="s">
        <v>264</v>
      </c>
      <c r="F1391" s="9">
        <v>125</v>
      </c>
      <c r="G1391" s="31">
        <v>5</v>
      </c>
    </row>
    <row r="1392" spans="1:7" x14ac:dyDescent="0.3">
      <c r="A1392" t="s">
        <v>44</v>
      </c>
      <c r="B1392" s="1">
        <v>10</v>
      </c>
      <c r="D1392" s="9" t="s">
        <v>45</v>
      </c>
      <c r="E1392" s="8" t="s">
        <v>46</v>
      </c>
      <c r="F1392" s="9">
        <v>10</v>
      </c>
      <c r="G1392" s="31">
        <v>899</v>
      </c>
    </row>
    <row r="1393" spans="1:7" x14ac:dyDescent="0.3">
      <c r="A1393" t="s">
        <v>139</v>
      </c>
      <c r="B1393" s="1">
        <v>5</v>
      </c>
      <c r="D1393" s="9" t="s">
        <v>140</v>
      </c>
      <c r="E1393" s="8" t="s">
        <v>141</v>
      </c>
      <c r="F1393" s="9">
        <v>5</v>
      </c>
      <c r="G1393" s="31">
        <v>387</v>
      </c>
    </row>
    <row r="1394" spans="1:7" x14ac:dyDescent="0.3">
      <c r="A1394" t="s">
        <v>71</v>
      </c>
      <c r="B1394" s="1">
        <v>0.1</v>
      </c>
      <c r="D1394" s="9" t="s">
        <v>72</v>
      </c>
      <c r="E1394" s="8" t="s">
        <v>73</v>
      </c>
      <c r="F1394" s="9">
        <v>0.1</v>
      </c>
      <c r="G1394" s="31">
        <v>270</v>
      </c>
    </row>
    <row r="1395" spans="1:7" x14ac:dyDescent="0.3">
      <c r="A1395" s="3" t="s">
        <v>10</v>
      </c>
      <c r="B1395" s="2">
        <v>390.1</v>
      </c>
      <c r="E1395" s="10" t="s">
        <v>11</v>
      </c>
      <c r="F1395" s="12">
        <f>SUM(F1388:F1394)</f>
        <v>390.1</v>
      </c>
      <c r="G1395" s="84">
        <f>(G1390*$F1390+G1391*$F1391+G1392*$F1392+G1393*$F1393+G1394*$F1394+$F1388*G1388+$F1389*G1389)/$F1395</f>
        <v>55.055114073314535</v>
      </c>
    </row>
    <row r="1396" spans="1:7" x14ac:dyDescent="0.3">
      <c r="A1396" s="3" t="s">
        <v>12</v>
      </c>
      <c r="B1396" s="2" t="s">
        <v>13</v>
      </c>
      <c r="E1396" s="14" t="s">
        <v>102</v>
      </c>
      <c r="F1396" s="15"/>
      <c r="G1396" s="81">
        <v>56.34</v>
      </c>
    </row>
    <row r="1397" spans="1:7" x14ac:dyDescent="0.3">
      <c r="E1397" s="17" t="s">
        <v>570</v>
      </c>
      <c r="F1397" s="1" t="s">
        <v>571</v>
      </c>
      <c r="G1397" s="79">
        <f t="shared" ref="G1397" si="6">G1395-G1396</f>
        <v>-1.2848859266854689</v>
      </c>
    </row>
    <row r="1398" spans="1:7" x14ac:dyDescent="0.3">
      <c r="E1398" s="17" t="s">
        <v>570</v>
      </c>
      <c r="F1398" s="1" t="s">
        <v>572</v>
      </c>
      <c r="G1398" s="82">
        <f t="shared" ref="G1398" si="7">G1397*100/G1395</f>
        <v>-2.3338175722866388</v>
      </c>
    </row>
    <row r="1403" spans="1:7" x14ac:dyDescent="0.3">
      <c r="G1403" s="79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6"/>
  <sheetViews>
    <sheetView zoomScale="90" zoomScaleNormal="90" workbookViewId="0">
      <selection activeCell="A4" sqref="A4"/>
    </sheetView>
  </sheetViews>
  <sheetFormatPr defaultColWidth="11.44140625" defaultRowHeight="14.4" x14ac:dyDescent="0.3"/>
  <cols>
    <col min="1" max="1" width="11.6640625" customWidth="1"/>
    <col min="2" max="2" width="67" bestFit="1" customWidth="1"/>
    <col min="3" max="3" width="8.5546875" customWidth="1"/>
    <col min="4" max="5" width="11.5546875" bestFit="1" customWidth="1"/>
    <col min="6" max="6" width="12.44140625" bestFit="1" customWidth="1"/>
    <col min="7" max="14" width="11.5546875" bestFit="1" customWidth="1"/>
  </cols>
  <sheetData>
    <row r="1" spans="1:19" s="27" customFormat="1" ht="13.2" x14ac:dyDescent="0.25">
      <c r="A1" s="22" t="s">
        <v>777</v>
      </c>
      <c r="B1" s="22" t="s">
        <v>778</v>
      </c>
      <c r="C1" s="22" t="s">
        <v>779</v>
      </c>
      <c r="D1" s="23" t="s">
        <v>780</v>
      </c>
      <c r="E1" s="23" t="s">
        <v>781</v>
      </c>
      <c r="F1" s="23" t="s">
        <v>781</v>
      </c>
      <c r="G1" s="24" t="s">
        <v>782</v>
      </c>
      <c r="H1" s="24" t="s">
        <v>783</v>
      </c>
      <c r="I1" s="22" t="s">
        <v>784</v>
      </c>
      <c r="J1" s="23" t="s">
        <v>785</v>
      </c>
      <c r="K1" s="23" t="s">
        <v>786</v>
      </c>
      <c r="M1" s="24" t="s">
        <v>787</v>
      </c>
      <c r="N1" s="24" t="s">
        <v>788</v>
      </c>
      <c r="O1" s="23"/>
      <c r="P1" s="23" t="s">
        <v>789</v>
      </c>
      <c r="Q1" s="23" t="s">
        <v>790</v>
      </c>
      <c r="R1" s="25" t="s">
        <v>641</v>
      </c>
      <c r="S1" s="26"/>
    </row>
    <row r="2" spans="1:19" s="27" customFormat="1" ht="13.2" x14ac:dyDescent="0.25">
      <c r="A2" s="22" t="s">
        <v>791</v>
      </c>
      <c r="B2" s="22" t="s">
        <v>792</v>
      </c>
      <c r="C2" s="22" t="s">
        <v>793</v>
      </c>
      <c r="D2" s="23" t="s">
        <v>794</v>
      </c>
      <c r="E2" s="23" t="s">
        <v>795</v>
      </c>
      <c r="F2" s="23" t="s">
        <v>795</v>
      </c>
      <c r="G2" s="24" t="s">
        <v>796</v>
      </c>
      <c r="H2" s="24" t="s">
        <v>797</v>
      </c>
      <c r="I2" s="22" t="s">
        <v>798</v>
      </c>
      <c r="J2" s="23" t="s">
        <v>799</v>
      </c>
      <c r="K2" s="23" t="s">
        <v>800</v>
      </c>
      <c r="M2" s="24" t="s">
        <v>801</v>
      </c>
      <c r="N2" s="24" t="s">
        <v>802</v>
      </c>
      <c r="O2" s="23"/>
      <c r="P2" s="23" t="s">
        <v>803</v>
      </c>
      <c r="Q2" s="23" t="s">
        <v>804</v>
      </c>
      <c r="R2" s="25" t="s">
        <v>805</v>
      </c>
      <c r="S2" s="26"/>
    </row>
    <row r="3" spans="1:19" s="27" customFormat="1" ht="13.5" customHeight="1" x14ac:dyDescent="0.3">
      <c r="A3" s="28"/>
      <c r="B3" s="28"/>
      <c r="C3" s="28"/>
      <c r="D3" s="29" t="s">
        <v>806</v>
      </c>
      <c r="E3" s="29" t="s">
        <v>807</v>
      </c>
      <c r="F3" s="29" t="s">
        <v>808</v>
      </c>
      <c r="G3" s="29" t="s">
        <v>806</v>
      </c>
      <c r="H3" s="29" t="s">
        <v>806</v>
      </c>
      <c r="I3" s="29" t="s">
        <v>806</v>
      </c>
      <c r="J3" s="29" t="s">
        <v>806</v>
      </c>
      <c r="K3" s="29" t="s">
        <v>806</v>
      </c>
      <c r="M3" s="39" t="s">
        <v>806</v>
      </c>
      <c r="N3" s="39" t="s">
        <v>806</v>
      </c>
      <c r="O3" s="29"/>
      <c r="P3" s="29" t="s">
        <v>809</v>
      </c>
      <c r="Q3" s="29" t="s">
        <v>809</v>
      </c>
      <c r="R3" s="25" t="s">
        <v>806</v>
      </c>
      <c r="S3" s="26"/>
    </row>
    <row r="4" spans="1:19" x14ac:dyDescent="0.3">
      <c r="B4" s="41" t="s">
        <v>810</v>
      </c>
    </row>
    <row r="5" spans="1:19" x14ac:dyDescent="0.3">
      <c r="A5" s="30" t="s">
        <v>148</v>
      </c>
      <c r="B5" s="30" t="s">
        <v>149</v>
      </c>
      <c r="C5" s="31"/>
      <c r="D5" s="32">
        <v>100</v>
      </c>
      <c r="E5" s="32">
        <v>19</v>
      </c>
      <c r="F5" s="32">
        <v>81</v>
      </c>
      <c r="G5" s="32">
        <v>2.8</v>
      </c>
      <c r="H5" s="32">
        <v>0.2</v>
      </c>
      <c r="I5" s="33">
        <v>0.03</v>
      </c>
      <c r="J5" s="1">
        <f>(P5*2.5)/1000</f>
        <v>7.4999999999999997E-3</v>
      </c>
      <c r="K5" s="32">
        <v>1.1000000000000001</v>
      </c>
      <c r="M5" s="32">
        <v>1.2</v>
      </c>
      <c r="N5" s="32">
        <v>2.8</v>
      </c>
      <c r="O5" s="32"/>
      <c r="P5" s="32">
        <v>3</v>
      </c>
      <c r="Q5" s="34">
        <v>0</v>
      </c>
      <c r="R5" s="32">
        <v>94.2</v>
      </c>
    </row>
    <row r="6" spans="1:19" x14ac:dyDescent="0.3">
      <c r="A6" s="30" t="s">
        <v>130</v>
      </c>
      <c r="B6" s="30" t="s">
        <v>131</v>
      </c>
      <c r="C6" s="31"/>
      <c r="D6" s="32">
        <v>80</v>
      </c>
      <c r="E6" s="32">
        <v>23</v>
      </c>
      <c r="F6" s="32">
        <v>98</v>
      </c>
      <c r="G6" s="32">
        <v>2.2000000000000002</v>
      </c>
      <c r="H6" s="32">
        <v>0.2</v>
      </c>
      <c r="I6" s="33">
        <v>0.05</v>
      </c>
      <c r="J6" s="1">
        <f t="shared" ref="J6:J10" si="0">(P6*2.5)/1000</f>
        <v>0.35</v>
      </c>
      <c r="K6" s="32">
        <v>1.6</v>
      </c>
      <c r="M6" s="32">
        <v>2.2999999999999998</v>
      </c>
      <c r="N6" s="32">
        <v>2.4</v>
      </c>
      <c r="O6" s="32"/>
      <c r="P6" s="32">
        <v>140</v>
      </c>
      <c r="Q6" s="34">
        <v>0</v>
      </c>
      <c r="R6" s="32">
        <v>88.3</v>
      </c>
    </row>
    <row r="7" spans="1:19" x14ac:dyDescent="0.3">
      <c r="A7" s="30" t="s">
        <v>377</v>
      </c>
      <c r="B7" s="30" t="s">
        <v>378</v>
      </c>
      <c r="C7" s="31"/>
      <c r="D7" s="32">
        <v>82</v>
      </c>
      <c r="E7" s="32">
        <v>26</v>
      </c>
      <c r="F7" s="32">
        <v>109</v>
      </c>
      <c r="G7" s="32">
        <v>4.2</v>
      </c>
      <c r="H7" s="32">
        <v>0.3</v>
      </c>
      <c r="I7" s="33">
        <v>0.05</v>
      </c>
      <c r="J7" s="1">
        <f t="shared" si="0"/>
        <v>5.0000000000000001E-3</v>
      </c>
      <c r="K7" s="32">
        <v>1.9</v>
      </c>
      <c r="M7" s="32">
        <v>0.9</v>
      </c>
      <c r="N7" s="32">
        <v>4.2</v>
      </c>
      <c r="O7" s="32"/>
      <c r="P7" s="32">
        <v>2</v>
      </c>
      <c r="Q7" s="34">
        <v>0</v>
      </c>
      <c r="R7" s="32">
        <v>92.3</v>
      </c>
    </row>
    <row r="8" spans="1:19" x14ac:dyDescent="0.3">
      <c r="A8" s="30" t="s">
        <v>507</v>
      </c>
      <c r="B8" s="30" t="s">
        <v>508</v>
      </c>
      <c r="C8" s="31"/>
      <c r="D8" s="32">
        <v>99</v>
      </c>
      <c r="E8" s="32">
        <v>13</v>
      </c>
      <c r="F8" s="32">
        <v>56</v>
      </c>
      <c r="G8" s="32">
        <v>1.8</v>
      </c>
      <c r="H8" s="32">
        <v>0.1</v>
      </c>
      <c r="I8" s="33">
        <v>0.03</v>
      </c>
      <c r="J8" s="1">
        <f t="shared" si="0"/>
        <v>0.14749999999999999</v>
      </c>
      <c r="K8" s="32">
        <v>1.3</v>
      </c>
      <c r="M8" s="32">
        <v>0.8</v>
      </c>
      <c r="N8" s="32">
        <v>1.8</v>
      </c>
      <c r="O8" s="32"/>
      <c r="P8" s="32">
        <v>59</v>
      </c>
      <c r="Q8" s="34">
        <v>0</v>
      </c>
      <c r="R8" s="32">
        <v>95.6</v>
      </c>
    </row>
    <row r="9" spans="1:19" x14ac:dyDescent="0.3">
      <c r="A9" s="30" t="s">
        <v>124</v>
      </c>
      <c r="B9" s="30" t="s">
        <v>125</v>
      </c>
      <c r="C9" s="31"/>
      <c r="D9" s="32">
        <v>95</v>
      </c>
      <c r="E9" s="32">
        <v>39</v>
      </c>
      <c r="F9" s="32">
        <v>165</v>
      </c>
      <c r="G9" s="32">
        <v>7.6</v>
      </c>
      <c r="H9" s="32">
        <v>0</v>
      </c>
      <c r="I9" s="33">
        <v>0</v>
      </c>
      <c r="J9" s="1">
        <f t="shared" si="0"/>
        <v>0.23749999999999999</v>
      </c>
      <c r="K9" s="32">
        <v>3.1</v>
      </c>
      <c r="M9" s="32">
        <v>1.1000000000000001</v>
      </c>
      <c r="N9" s="32">
        <v>7.6</v>
      </c>
      <c r="O9" s="32"/>
      <c r="P9" s="32">
        <v>95</v>
      </c>
      <c r="Q9" s="34">
        <v>0</v>
      </c>
      <c r="R9" s="32">
        <v>91.6</v>
      </c>
      <c r="S9" s="32"/>
    </row>
    <row r="10" spans="1:19" x14ac:dyDescent="0.3">
      <c r="A10" s="30" t="s">
        <v>315</v>
      </c>
      <c r="B10" s="30" t="s">
        <v>316</v>
      </c>
      <c r="C10" s="31"/>
      <c r="D10" s="32">
        <v>59</v>
      </c>
      <c r="E10" s="32">
        <v>13</v>
      </c>
      <c r="F10" s="32">
        <v>54</v>
      </c>
      <c r="G10" s="32">
        <v>1</v>
      </c>
      <c r="H10" s="32">
        <v>0</v>
      </c>
      <c r="I10" s="33">
        <v>0</v>
      </c>
      <c r="J10" s="1">
        <f t="shared" si="0"/>
        <v>0.35249999999999998</v>
      </c>
      <c r="K10" s="32">
        <v>2.2000000000000002</v>
      </c>
      <c r="M10" s="32">
        <v>1.2</v>
      </c>
      <c r="N10" s="32">
        <v>1</v>
      </c>
      <c r="O10" s="32"/>
      <c r="P10" s="32">
        <v>141</v>
      </c>
      <c r="Q10" s="34">
        <v>0</v>
      </c>
      <c r="R10" s="32">
        <v>93.2</v>
      </c>
    </row>
    <row r="11" spans="1:19" x14ac:dyDescent="0.3">
      <c r="B11" s="43" t="s">
        <v>811</v>
      </c>
      <c r="C11" s="43"/>
      <c r="D11" s="44">
        <f t="shared" ref="D11:K11" si="1">AVERAGE(D5:D10)</f>
        <v>85.833333333333329</v>
      </c>
      <c r="E11" s="44">
        <f t="shared" si="1"/>
        <v>22.166666666666668</v>
      </c>
      <c r="F11" s="44">
        <f t="shared" si="1"/>
        <v>93.833333333333329</v>
      </c>
      <c r="G11" s="44">
        <f t="shared" si="1"/>
        <v>3.2666666666666671</v>
      </c>
      <c r="H11" s="44">
        <f t="shared" si="1"/>
        <v>0.13333333333333333</v>
      </c>
      <c r="I11" s="44">
        <f t="shared" si="1"/>
        <v>2.6666666666666668E-2</v>
      </c>
      <c r="J11" s="44">
        <f t="shared" si="1"/>
        <v>0.18333333333333335</v>
      </c>
      <c r="K11" s="44">
        <f t="shared" si="1"/>
        <v>1.8666666666666665</v>
      </c>
      <c r="L11" s="43"/>
      <c r="M11" s="44">
        <f t="shared" ref="M11" si="2">AVERAGE(M5:M10)</f>
        <v>1.2500000000000002</v>
      </c>
      <c r="N11" s="44">
        <f t="shared" ref="N11" si="3">AVERAGE(N5:N10)</f>
        <v>3.2999999999999994</v>
      </c>
      <c r="O11" s="43"/>
      <c r="P11" s="44">
        <f t="shared" ref="P11" si="4">AVERAGE(P5:P10)</f>
        <v>73.333333333333329</v>
      </c>
      <c r="Q11" s="44">
        <f t="shared" ref="Q11" si="5">AVERAGE(Q5:Q10)</f>
        <v>0</v>
      </c>
      <c r="R11" s="44">
        <f t="shared" ref="R11" si="6">AVERAGE(R5:R10)</f>
        <v>92.533333333333346</v>
      </c>
    </row>
    <row r="13" spans="1:19" x14ac:dyDescent="0.3">
      <c r="B13" s="38" t="s">
        <v>733</v>
      </c>
      <c r="D13" t="s">
        <v>812</v>
      </c>
    </row>
    <row r="14" spans="1:19" x14ac:dyDescent="0.3">
      <c r="B14" t="s">
        <v>813</v>
      </c>
      <c r="D14" s="1">
        <v>100</v>
      </c>
      <c r="E14" s="1">
        <v>119</v>
      </c>
      <c r="F14" s="1">
        <v>494</v>
      </c>
      <c r="G14" s="1">
        <v>3.2</v>
      </c>
      <c r="H14" s="1">
        <v>6.5</v>
      </c>
      <c r="I14" s="1">
        <v>0.4</v>
      </c>
      <c r="J14" s="1">
        <v>3.1</v>
      </c>
      <c r="K14" s="1">
        <v>2.8</v>
      </c>
      <c r="L14" s="1"/>
      <c r="M14" s="1">
        <v>5.0999999999999996</v>
      </c>
      <c r="N14" s="1">
        <v>8.5</v>
      </c>
      <c r="O14" s="1"/>
      <c r="P14" s="34">
        <v>0</v>
      </c>
      <c r="Q14" s="34">
        <v>0</v>
      </c>
      <c r="R14" s="34">
        <v>0</v>
      </c>
    </row>
    <row r="15" spans="1:19" x14ac:dyDescent="0.3">
      <c r="B15" t="s">
        <v>814</v>
      </c>
      <c r="D15" s="1">
        <v>100</v>
      </c>
      <c r="E15" s="1">
        <v>149</v>
      </c>
      <c r="F15" s="1">
        <v>619</v>
      </c>
      <c r="G15" s="1">
        <v>2.7</v>
      </c>
      <c r="H15" s="1">
        <v>11.5</v>
      </c>
      <c r="I15" s="1">
        <v>0.8</v>
      </c>
      <c r="J15" s="1">
        <v>6.5</v>
      </c>
      <c r="K15" s="1">
        <v>2.1</v>
      </c>
      <c r="L15" s="1"/>
      <c r="M15" s="1">
        <v>7.2</v>
      </c>
      <c r="N15" s="1">
        <v>3.2</v>
      </c>
      <c r="O15" s="1"/>
      <c r="P15" s="34">
        <v>0</v>
      </c>
      <c r="Q15" s="34">
        <v>0</v>
      </c>
      <c r="R15" s="34">
        <v>0</v>
      </c>
    </row>
    <row r="16" spans="1:19" x14ac:dyDescent="0.3">
      <c r="B16" t="s">
        <v>815</v>
      </c>
      <c r="D16" s="1">
        <v>100</v>
      </c>
      <c r="E16" s="1">
        <v>106</v>
      </c>
      <c r="F16" s="1">
        <v>441</v>
      </c>
      <c r="G16" s="1">
        <v>3.6</v>
      </c>
      <c r="H16" s="1">
        <v>6</v>
      </c>
      <c r="I16" s="1">
        <v>0.3</v>
      </c>
      <c r="J16" s="1">
        <v>3.7</v>
      </c>
      <c r="K16" s="1">
        <v>2.7</v>
      </c>
      <c r="L16" s="1"/>
      <c r="M16" s="1">
        <v>4.9000000000000004</v>
      </c>
      <c r="N16" s="1">
        <v>6.7</v>
      </c>
      <c r="O16" s="1"/>
      <c r="P16" s="34">
        <v>0</v>
      </c>
      <c r="Q16" s="34">
        <v>0</v>
      </c>
      <c r="R16" s="34">
        <v>0</v>
      </c>
    </row>
    <row r="17" spans="2:18" x14ac:dyDescent="0.3">
      <c r="B17" s="43" t="s">
        <v>811</v>
      </c>
      <c r="C17" s="43"/>
      <c r="D17" s="45">
        <f>AVERAGE(D14:D16)</f>
        <v>100</v>
      </c>
      <c r="E17" s="45">
        <f>AVERAGE(E14:E16)</f>
        <v>124.66666666666667</v>
      </c>
      <c r="F17" s="45">
        <f t="shared" ref="F17" si="7">AVERAGE(F14:F16)</f>
        <v>518</v>
      </c>
      <c r="G17" s="44">
        <f t="shared" ref="G17" si="8">AVERAGE(G14:G16)</f>
        <v>3.1666666666666665</v>
      </c>
      <c r="H17" s="44">
        <f t="shared" ref="H17" si="9">AVERAGE(H14:H16)</f>
        <v>8</v>
      </c>
      <c r="I17" s="44">
        <f t="shared" ref="I17" si="10">AVERAGE(I14:I16)</f>
        <v>0.50000000000000011</v>
      </c>
      <c r="J17" s="44">
        <f t="shared" ref="J17" si="11">AVERAGE(J14:J16)</f>
        <v>4.4333333333333336</v>
      </c>
      <c r="K17" s="44">
        <f t="shared" ref="K17" si="12">AVERAGE(K14:K16)</f>
        <v>2.5333333333333337</v>
      </c>
      <c r="L17" s="44"/>
      <c r="M17" s="44">
        <f t="shared" ref="M17" si="13">AVERAGE(M14:M16)</f>
        <v>5.7333333333333343</v>
      </c>
      <c r="N17" s="44">
        <f t="shared" ref="N17" si="14">AVERAGE(N14:N16)</f>
        <v>6.1333333333333329</v>
      </c>
      <c r="O17" s="44"/>
      <c r="P17" s="44">
        <f t="shared" ref="P17" si="15">AVERAGE(P14:P16)</f>
        <v>0</v>
      </c>
      <c r="Q17" s="44">
        <f t="shared" ref="Q17" si="16">AVERAGE(Q14:Q16)</f>
        <v>0</v>
      </c>
      <c r="R17" s="44">
        <f t="shared" ref="R17" si="17">AVERAGE(R14:R16)</f>
        <v>0</v>
      </c>
    </row>
    <row r="19" spans="2:18" x14ac:dyDescent="0.3">
      <c r="D19" s="23" t="s">
        <v>780</v>
      </c>
      <c r="E19" s="23" t="s">
        <v>781</v>
      </c>
      <c r="F19" s="23" t="s">
        <v>781</v>
      </c>
      <c r="G19" s="24" t="s">
        <v>782</v>
      </c>
      <c r="H19" s="24" t="s">
        <v>783</v>
      </c>
      <c r="I19" s="22" t="s">
        <v>784</v>
      </c>
      <c r="J19" s="23" t="s">
        <v>785</v>
      </c>
      <c r="K19" s="23" t="s">
        <v>786</v>
      </c>
      <c r="L19" s="27"/>
      <c r="M19" s="24" t="s">
        <v>787</v>
      </c>
      <c r="N19" s="24" t="s">
        <v>788</v>
      </c>
      <c r="O19" s="23"/>
      <c r="P19" s="23" t="s">
        <v>789</v>
      </c>
      <c r="Q19" s="23" t="s">
        <v>790</v>
      </c>
      <c r="R19" s="25" t="s">
        <v>641</v>
      </c>
    </row>
    <row r="20" spans="2:18" x14ac:dyDescent="0.3">
      <c r="B20" s="41" t="s">
        <v>816</v>
      </c>
      <c r="C20" t="s">
        <v>817</v>
      </c>
    </row>
    <row r="21" spans="2:18" x14ac:dyDescent="0.3">
      <c r="B21" s="8" t="s">
        <v>427</v>
      </c>
      <c r="C21" s="9"/>
      <c r="D21" s="32">
        <v>81</v>
      </c>
      <c r="E21" s="32">
        <v>19</v>
      </c>
      <c r="F21" s="32">
        <v>77</v>
      </c>
      <c r="G21" s="32">
        <v>1.5</v>
      </c>
      <c r="H21" s="32">
        <v>0.3</v>
      </c>
      <c r="I21" s="33">
        <v>0.06</v>
      </c>
      <c r="J21" s="1">
        <f t="shared" ref="J21" si="18">P21/1000+Q21/1000</f>
        <v>1.0999999999999999E-2</v>
      </c>
      <c r="K21" s="32">
        <v>2.1</v>
      </c>
      <c r="M21" s="32">
        <v>1.5</v>
      </c>
      <c r="N21" s="32">
        <v>1.5</v>
      </c>
      <c r="O21" s="32"/>
      <c r="P21" s="32">
        <v>11</v>
      </c>
      <c r="Q21" s="34">
        <v>0</v>
      </c>
      <c r="R21" s="32">
        <v>92.6</v>
      </c>
    </row>
    <row r="26" spans="2:18" x14ac:dyDescent="0.3">
      <c r="B26" s="41" t="s">
        <v>818</v>
      </c>
      <c r="D26" t="s">
        <v>819</v>
      </c>
    </row>
    <row r="27" spans="2:18" x14ac:dyDescent="0.3">
      <c r="B27" s="42" t="s">
        <v>434</v>
      </c>
      <c r="C27" s="63"/>
      <c r="D27" s="32">
        <v>83</v>
      </c>
      <c r="E27" s="32">
        <v>35</v>
      </c>
      <c r="F27" s="32">
        <v>147</v>
      </c>
      <c r="G27" s="32">
        <v>0.4</v>
      </c>
      <c r="H27" s="32">
        <v>0.7</v>
      </c>
      <c r="I27" s="33">
        <v>7.0000000000000007E-2</v>
      </c>
      <c r="J27" s="1">
        <f t="shared" ref="J27:J29" si="19">P27/1000+Q27/1000</f>
        <v>0.19800000000000001</v>
      </c>
      <c r="K27" s="32">
        <v>1.9</v>
      </c>
      <c r="L27" s="1"/>
      <c r="M27" s="32">
        <v>3.4</v>
      </c>
      <c r="N27" s="32">
        <v>3</v>
      </c>
      <c r="O27" s="32"/>
      <c r="P27" s="32">
        <v>100</v>
      </c>
      <c r="Q27" s="32">
        <v>98</v>
      </c>
      <c r="R27" s="32">
        <v>90.1</v>
      </c>
    </row>
    <row r="28" spans="2:18" x14ac:dyDescent="0.3">
      <c r="B28" s="42" t="s">
        <v>248</v>
      </c>
      <c r="C28" s="63"/>
      <c r="D28" s="32">
        <v>82</v>
      </c>
      <c r="E28" s="32">
        <v>19</v>
      </c>
      <c r="F28" s="32">
        <v>80</v>
      </c>
      <c r="G28" s="32">
        <v>2.8</v>
      </c>
      <c r="H28" s="32">
        <v>0.1</v>
      </c>
      <c r="I28" s="33">
        <v>0.02</v>
      </c>
      <c r="J28" s="1">
        <f t="shared" si="19"/>
        <v>0.158</v>
      </c>
      <c r="K28" s="32">
        <v>1.2</v>
      </c>
      <c r="L28" s="1"/>
      <c r="M28" s="32">
        <v>1.3</v>
      </c>
      <c r="N28" s="32">
        <v>2.8</v>
      </c>
      <c r="O28" s="32"/>
      <c r="P28" s="32">
        <v>158</v>
      </c>
      <c r="Q28" s="34">
        <v>0</v>
      </c>
      <c r="R28" s="32">
        <v>94.5</v>
      </c>
    </row>
    <row r="29" spans="2:18" x14ac:dyDescent="0.3">
      <c r="B29" s="8" t="s">
        <v>217</v>
      </c>
      <c r="C29" s="9"/>
      <c r="D29" s="32">
        <v>80</v>
      </c>
      <c r="E29" s="32">
        <v>30</v>
      </c>
      <c r="F29" s="32">
        <v>125</v>
      </c>
      <c r="G29" s="32">
        <v>3</v>
      </c>
      <c r="H29" s="32">
        <v>0.5</v>
      </c>
      <c r="I29" s="33">
        <v>0.12</v>
      </c>
      <c r="J29" s="1">
        <f t="shared" si="19"/>
        <v>4.5999999999999999E-2</v>
      </c>
      <c r="K29" s="32">
        <v>3.1</v>
      </c>
      <c r="M29" s="32">
        <v>1.8</v>
      </c>
      <c r="N29" s="32">
        <v>3.2</v>
      </c>
      <c r="O29" s="32"/>
      <c r="P29" s="32">
        <v>21</v>
      </c>
      <c r="Q29" s="32">
        <v>25</v>
      </c>
      <c r="R29" s="32">
        <v>90</v>
      </c>
    </row>
    <row r="30" spans="2:18" x14ac:dyDescent="0.3">
      <c r="B30" s="1"/>
      <c r="C30" s="1"/>
      <c r="D30" s="19"/>
      <c r="E30" s="19">
        <f t="shared" ref="E30:N30" si="20">SUM(E27:E29)/3</f>
        <v>28</v>
      </c>
      <c r="F30" s="19">
        <f t="shared" si="20"/>
        <v>117.33333333333333</v>
      </c>
      <c r="G30" s="19">
        <f t="shared" si="20"/>
        <v>2.0666666666666664</v>
      </c>
      <c r="H30" s="19">
        <f t="shared" si="20"/>
        <v>0.43333333333333329</v>
      </c>
      <c r="I30" s="19">
        <f t="shared" si="20"/>
        <v>7.0000000000000007E-2</v>
      </c>
      <c r="J30" s="19">
        <f t="shared" si="20"/>
        <v>0.13399999999999998</v>
      </c>
      <c r="K30" s="19">
        <f t="shared" si="20"/>
        <v>2.0666666666666664</v>
      </c>
      <c r="L30" s="19">
        <f t="shared" si="20"/>
        <v>0</v>
      </c>
      <c r="M30" s="19">
        <f t="shared" si="20"/>
        <v>2.1666666666666665</v>
      </c>
      <c r="N30" s="19">
        <f t="shared" si="20"/>
        <v>3</v>
      </c>
      <c r="O30" s="19">
        <f t="shared" ref="O30" si="21">SUM(O27:O29)/3</f>
        <v>0</v>
      </c>
      <c r="P30" s="19">
        <f t="shared" ref="P30" si="22">SUM(P27:P29)/3</f>
        <v>93</v>
      </c>
      <c r="Q30" s="19">
        <f t="shared" ref="Q30" si="23">SUM(Q27:Q29)/3</f>
        <v>41</v>
      </c>
      <c r="R30" s="19">
        <f t="shared" ref="R30" si="24">SUM(R27:R29)/3</f>
        <v>91.533333333333346</v>
      </c>
    </row>
    <row r="32" spans="2:18" x14ac:dyDescent="0.3">
      <c r="B32" s="41" t="s">
        <v>820</v>
      </c>
    </row>
    <row r="33" spans="2:18" x14ac:dyDescent="0.3">
      <c r="B33" s="42" t="s">
        <v>434</v>
      </c>
      <c r="C33" s="63"/>
      <c r="D33" s="32">
        <v>83</v>
      </c>
      <c r="E33" s="32">
        <v>35</v>
      </c>
      <c r="F33" s="32">
        <v>147</v>
      </c>
      <c r="G33" s="32">
        <v>0.4</v>
      </c>
      <c r="H33" s="32">
        <v>0.7</v>
      </c>
      <c r="I33" s="33">
        <v>7.0000000000000007E-2</v>
      </c>
      <c r="J33" s="1">
        <f t="shared" ref="J33:J35" si="25">P33/1000+Q33/1000</f>
        <v>0.19800000000000001</v>
      </c>
      <c r="K33" s="32">
        <v>1.9</v>
      </c>
      <c r="L33" s="1"/>
      <c r="M33" s="32">
        <v>3.4</v>
      </c>
      <c r="N33" s="32">
        <v>3</v>
      </c>
      <c r="O33" s="32"/>
      <c r="P33" s="32">
        <v>100</v>
      </c>
      <c r="Q33" s="32">
        <v>98</v>
      </c>
      <c r="R33" s="32">
        <v>90.1</v>
      </c>
    </row>
    <row r="34" spans="2:18" x14ac:dyDescent="0.3">
      <c r="B34" s="42" t="s">
        <v>248</v>
      </c>
      <c r="C34" s="63"/>
      <c r="D34" s="32">
        <v>82</v>
      </c>
      <c r="E34" s="32">
        <v>19</v>
      </c>
      <c r="F34" s="32">
        <v>80</v>
      </c>
      <c r="G34" s="32">
        <v>2.8</v>
      </c>
      <c r="H34" s="32">
        <v>0.1</v>
      </c>
      <c r="I34" s="33">
        <v>0.02</v>
      </c>
      <c r="J34" s="1">
        <f t="shared" si="25"/>
        <v>0.158</v>
      </c>
      <c r="K34" s="32">
        <v>1.2</v>
      </c>
      <c r="L34" s="1"/>
      <c r="M34" s="32">
        <v>1.3</v>
      </c>
      <c r="N34" s="32">
        <v>2.8</v>
      </c>
      <c r="O34" s="32"/>
      <c r="P34" s="32">
        <v>158</v>
      </c>
      <c r="Q34" s="34">
        <v>0</v>
      </c>
      <c r="R34" s="32">
        <v>94.5</v>
      </c>
    </row>
    <row r="35" spans="2:18" x14ac:dyDescent="0.3">
      <c r="B35" s="8" t="s">
        <v>217</v>
      </c>
      <c r="C35" s="9"/>
      <c r="D35" s="32">
        <v>80</v>
      </c>
      <c r="E35" s="32">
        <v>30</v>
      </c>
      <c r="F35" s="32">
        <v>125</v>
      </c>
      <c r="G35" s="32">
        <v>3</v>
      </c>
      <c r="H35" s="32">
        <v>0.5</v>
      </c>
      <c r="I35" s="33">
        <v>0.12</v>
      </c>
      <c r="J35" s="1">
        <f t="shared" si="25"/>
        <v>4.5999999999999999E-2</v>
      </c>
      <c r="K35" s="32">
        <v>3.1</v>
      </c>
      <c r="M35" s="32">
        <v>1.8</v>
      </c>
      <c r="N35" s="32">
        <v>3.2</v>
      </c>
      <c r="O35" s="32"/>
      <c r="P35" s="32">
        <v>21</v>
      </c>
      <c r="Q35" s="32">
        <v>25</v>
      </c>
      <c r="R35" s="32">
        <v>90</v>
      </c>
    </row>
    <row r="36" spans="2:18" x14ac:dyDescent="0.3">
      <c r="B36" s="1"/>
      <c r="C36" s="1"/>
      <c r="D36" s="19"/>
      <c r="E36" s="19">
        <f>SUM(E33:E35)/3</f>
        <v>28</v>
      </c>
      <c r="F36" s="19">
        <f t="shared" ref="F36" si="26">SUM(F33:F35)/3</f>
        <v>117.33333333333333</v>
      </c>
      <c r="G36" s="19">
        <f t="shared" ref="G36" si="27">SUM(G33:G35)/3</f>
        <v>2.0666666666666664</v>
      </c>
      <c r="H36" s="19">
        <f t="shared" ref="H36" si="28">SUM(H33:H35)/3</f>
        <v>0.43333333333333329</v>
      </c>
      <c r="I36" s="19">
        <f t="shared" ref="I36" si="29">SUM(I33:I35)/3</f>
        <v>7.0000000000000007E-2</v>
      </c>
      <c r="J36" s="19">
        <f t="shared" ref="J36" si="30">SUM(J33:J35)/3</f>
        <v>0.13399999999999998</v>
      </c>
      <c r="K36" s="19">
        <f t="shared" ref="K36" si="31">SUM(K33:K35)/3</f>
        <v>2.0666666666666664</v>
      </c>
      <c r="L36" s="19">
        <f t="shared" ref="L36" si="32">SUM(L33:L35)/3</f>
        <v>0</v>
      </c>
      <c r="M36" s="19">
        <f t="shared" ref="M36" si="33">SUM(M33:M35)/3</f>
        <v>2.1666666666666665</v>
      </c>
      <c r="N36" s="19">
        <f t="shared" ref="N36" si="34">SUM(N33:N35)/3</f>
        <v>3</v>
      </c>
      <c r="O36" s="19">
        <f t="shared" ref="O36" si="35">SUM(O33:O35)/3</f>
        <v>0</v>
      </c>
      <c r="P36" s="19">
        <f t="shared" ref="P36" si="36">SUM(P33:P35)/3</f>
        <v>93</v>
      </c>
      <c r="Q36" s="19">
        <f t="shared" ref="Q36" si="37">SUM(Q33:Q35)/3</f>
        <v>41</v>
      </c>
      <c r="R36" s="19">
        <f t="shared" ref="R36" si="38">SUM(R33:R35)/3</f>
        <v>91.533333333333346</v>
      </c>
    </row>
    <row r="39" spans="2:18" x14ac:dyDescent="0.3">
      <c r="B39" s="66" t="s">
        <v>821</v>
      </c>
    </row>
    <row r="41" spans="2:18" x14ac:dyDescent="0.3">
      <c r="B41" s="3" t="s">
        <v>822</v>
      </c>
      <c r="C41" s="65" t="s">
        <v>489</v>
      </c>
      <c r="D41" s="65" t="s">
        <v>823</v>
      </c>
    </row>
    <row r="42" spans="2:18" x14ac:dyDescent="0.3">
      <c r="B42" s="3" t="s">
        <v>824</v>
      </c>
      <c r="C42" s="65" t="s">
        <v>213</v>
      </c>
      <c r="D42" s="65" t="s">
        <v>825</v>
      </c>
    </row>
    <row r="43" spans="2:18" x14ac:dyDescent="0.3">
      <c r="B43" s="3" t="s">
        <v>826</v>
      </c>
      <c r="C43" s="65" t="s">
        <v>291</v>
      </c>
      <c r="D43" s="65" t="s">
        <v>827</v>
      </c>
    </row>
    <row r="44" spans="2:18" x14ac:dyDescent="0.3">
      <c r="B44" s="3" t="s">
        <v>828</v>
      </c>
      <c r="C44" t="s">
        <v>829</v>
      </c>
    </row>
    <row r="45" spans="2:18" x14ac:dyDescent="0.3">
      <c r="B45" s="3" t="s">
        <v>830</v>
      </c>
      <c r="C45" s="65" t="s">
        <v>546</v>
      </c>
      <c r="D45" s="65" t="s">
        <v>831</v>
      </c>
    </row>
    <row r="46" spans="2:18" x14ac:dyDescent="0.3">
      <c r="B46" s="8" t="s">
        <v>603</v>
      </c>
      <c r="C46" s="65" t="s">
        <v>602</v>
      </c>
      <c r="D46" s="65" t="s">
        <v>832</v>
      </c>
    </row>
    <row r="51" spans="1:5" x14ac:dyDescent="0.3">
      <c r="B51" s="3" t="s">
        <v>833</v>
      </c>
    </row>
    <row r="52" spans="1:5" x14ac:dyDescent="0.3">
      <c r="A52" s="65" t="s">
        <v>175</v>
      </c>
      <c r="B52" s="65" t="s">
        <v>176</v>
      </c>
      <c r="C52">
        <v>50</v>
      </c>
      <c r="D52" s="69">
        <f>(30*C52)/271</f>
        <v>5.5350553505535052</v>
      </c>
      <c r="E52">
        <v>49</v>
      </c>
    </row>
    <row r="53" spans="1:5" x14ac:dyDescent="0.3">
      <c r="A53" s="65" t="s">
        <v>45</v>
      </c>
      <c r="B53" s="65" t="s">
        <v>46</v>
      </c>
      <c r="C53">
        <v>50</v>
      </c>
      <c r="D53" s="69">
        <f t="shared" ref="D53:D58" si="39">(30*C53)/271</f>
        <v>5.5350553505535052</v>
      </c>
      <c r="E53">
        <v>899</v>
      </c>
    </row>
    <row r="54" spans="1:5" x14ac:dyDescent="0.3">
      <c r="A54" s="65" t="s">
        <v>351</v>
      </c>
      <c r="B54" s="65" t="s">
        <v>352</v>
      </c>
      <c r="C54">
        <v>50</v>
      </c>
      <c r="D54" s="69">
        <f t="shared" si="39"/>
        <v>5.5350553505535052</v>
      </c>
      <c r="E54">
        <v>900</v>
      </c>
    </row>
    <row r="55" spans="1:5" x14ac:dyDescent="0.3">
      <c r="A55" s="65" t="s">
        <v>353</v>
      </c>
      <c r="B55" s="65" t="s">
        <v>354</v>
      </c>
      <c r="C55">
        <v>30</v>
      </c>
      <c r="D55" s="69">
        <f t="shared" si="39"/>
        <v>3.3210332103321032</v>
      </c>
      <c r="E55">
        <v>379</v>
      </c>
    </row>
    <row r="56" spans="1:5" x14ac:dyDescent="0.3">
      <c r="A56" s="65" t="s">
        <v>140</v>
      </c>
      <c r="B56" s="65" t="s">
        <v>141</v>
      </c>
      <c r="C56">
        <v>70</v>
      </c>
      <c r="D56" s="69">
        <f t="shared" si="39"/>
        <v>7.7490774907749076</v>
      </c>
      <c r="E56">
        <v>387</v>
      </c>
    </row>
    <row r="57" spans="1:5" x14ac:dyDescent="0.3">
      <c r="A57" s="65" t="s">
        <v>355</v>
      </c>
      <c r="B57" s="65" t="s">
        <v>356</v>
      </c>
      <c r="C57">
        <v>15</v>
      </c>
      <c r="D57" s="69">
        <f t="shared" si="39"/>
        <v>1.6605166051660516</v>
      </c>
      <c r="E57">
        <v>604</v>
      </c>
    </row>
    <row r="58" spans="1:5" x14ac:dyDescent="0.3">
      <c r="A58" s="65" t="s">
        <v>89</v>
      </c>
      <c r="B58" s="65" t="s">
        <v>90</v>
      </c>
      <c r="C58">
        <v>6</v>
      </c>
      <c r="D58" s="69">
        <f t="shared" si="39"/>
        <v>0.66420664206642066</v>
      </c>
      <c r="E58">
        <v>45</v>
      </c>
    </row>
    <row r="59" spans="1:5" x14ac:dyDescent="0.3">
      <c r="C59">
        <f>SUM(C52:C58)</f>
        <v>271</v>
      </c>
      <c r="D59" s="69">
        <f>SUM(D52:D58)</f>
        <v>30</v>
      </c>
    </row>
    <row r="63" spans="1:5" x14ac:dyDescent="0.3">
      <c r="B63" t="s">
        <v>834</v>
      </c>
      <c r="C63" s="3">
        <v>200</v>
      </c>
      <c r="D63" s="3" t="s">
        <v>835</v>
      </c>
      <c r="E63" t="s">
        <v>836</v>
      </c>
    </row>
    <row r="64" spans="1:5" x14ac:dyDescent="0.3">
      <c r="A64" s="65" t="s">
        <v>275</v>
      </c>
      <c r="B64" s="65" t="s">
        <v>276</v>
      </c>
      <c r="C64" s="69">
        <f>E64*200/341.5</f>
        <v>146.41288433382138</v>
      </c>
      <c r="D64">
        <v>1000</v>
      </c>
      <c r="E64">
        <f>D64/4</f>
        <v>250</v>
      </c>
    </row>
    <row r="65" spans="1:8" x14ac:dyDescent="0.3">
      <c r="A65" s="65" t="s">
        <v>342</v>
      </c>
      <c r="B65" s="65" t="s">
        <v>68</v>
      </c>
      <c r="C65" s="69">
        <f>E65*200/341.5</f>
        <v>43.92386530014641</v>
      </c>
      <c r="D65">
        <v>300</v>
      </c>
      <c r="E65">
        <f t="shared" ref="E65:E67" si="40">D65/4</f>
        <v>75</v>
      </c>
    </row>
    <row r="66" spans="1:8" x14ac:dyDescent="0.3">
      <c r="A66" s="65" t="s">
        <v>259</v>
      </c>
      <c r="B66" s="65" t="s">
        <v>260</v>
      </c>
      <c r="C66" s="69">
        <f>E66*200/341.5</f>
        <v>8.9311859443631043</v>
      </c>
      <c r="D66">
        <v>61</v>
      </c>
      <c r="E66">
        <f t="shared" si="40"/>
        <v>15.25</v>
      </c>
    </row>
    <row r="67" spans="1:8" x14ac:dyDescent="0.3">
      <c r="A67" s="65" t="s">
        <v>25</v>
      </c>
      <c r="B67" s="65" t="s">
        <v>26</v>
      </c>
      <c r="C67" s="69">
        <f>E67*200/341.5</f>
        <v>0.7320644216691069</v>
      </c>
      <c r="D67">
        <v>5</v>
      </c>
      <c r="E67">
        <f t="shared" si="40"/>
        <v>1.25</v>
      </c>
    </row>
    <row r="68" spans="1:8" x14ac:dyDescent="0.3">
      <c r="C68" s="69"/>
      <c r="D68">
        <f>SUM(D64:D67)</f>
        <v>1366</v>
      </c>
      <c r="E68" s="3">
        <f>SUM(E64:E67)</f>
        <v>341.5</v>
      </c>
    </row>
    <row r="70" spans="1:8" x14ac:dyDescent="0.3">
      <c r="B70" s="73" t="s">
        <v>837</v>
      </c>
    </row>
    <row r="71" spans="1:8" x14ac:dyDescent="0.3">
      <c r="A71" s="65" t="s">
        <v>159</v>
      </c>
      <c r="B71" s="65" t="s">
        <v>317</v>
      </c>
      <c r="C71" s="65">
        <v>500</v>
      </c>
      <c r="D71" s="74">
        <f>(75*C71)/552</f>
        <v>67.934782608695656</v>
      </c>
      <c r="E71" s="70">
        <v>46</v>
      </c>
      <c r="F71" s="70"/>
    </row>
    <row r="72" spans="1:8" x14ac:dyDescent="0.3">
      <c r="A72" s="65" t="s">
        <v>64</v>
      </c>
      <c r="B72" s="65" t="s">
        <v>65</v>
      </c>
      <c r="C72" s="65">
        <v>30</v>
      </c>
      <c r="D72" s="74">
        <f>(75*C72)/552</f>
        <v>4.0760869565217392</v>
      </c>
      <c r="E72" s="70">
        <v>758</v>
      </c>
      <c r="F72" s="70"/>
    </row>
    <row r="73" spans="1:8" x14ac:dyDescent="0.3">
      <c r="A73" s="65" t="s">
        <v>318</v>
      </c>
      <c r="B73" s="65" t="s">
        <v>319</v>
      </c>
      <c r="C73" s="65">
        <v>14</v>
      </c>
      <c r="D73" s="74">
        <f>(75*C73)/552</f>
        <v>1.9021739130434783</v>
      </c>
      <c r="E73" s="70">
        <v>321</v>
      </c>
      <c r="F73" s="70"/>
    </row>
    <row r="74" spans="1:8" x14ac:dyDescent="0.3">
      <c r="A74" s="65" t="s">
        <v>25</v>
      </c>
      <c r="B74" s="65" t="s">
        <v>26</v>
      </c>
      <c r="C74" s="65">
        <v>7</v>
      </c>
      <c r="D74" s="74">
        <f>(75*C74)/552</f>
        <v>0.95108695652173914</v>
      </c>
      <c r="E74" s="70">
        <v>0</v>
      </c>
      <c r="F74" s="70"/>
      <c r="H74" s="70"/>
    </row>
    <row r="75" spans="1:8" x14ac:dyDescent="0.3">
      <c r="A75" s="65" t="s">
        <v>75</v>
      </c>
      <c r="B75" s="65" t="s">
        <v>76</v>
      </c>
      <c r="C75" s="65">
        <v>1</v>
      </c>
      <c r="D75" s="74">
        <f>(75*C75)/552</f>
        <v>0.1358695652173913</v>
      </c>
      <c r="E75" s="70">
        <v>442</v>
      </c>
      <c r="F75" s="70"/>
    </row>
    <row r="76" spans="1:8" x14ac:dyDescent="0.3">
      <c r="C76">
        <f>SUM(C71:C75)</f>
        <v>552</v>
      </c>
      <c r="D76" s="69">
        <f>SUM(D71:D75)</f>
        <v>75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52a43-4305-43cb-86cd-86b8004b22dc" xsi:nil="true"/>
    <lcf76f155ced4ddcb4097134ff3c332f xmlns="09c38c22-634d-4549-afed-4d586a40a45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513A8E14F51D479DF130B3FA0C7E43" ma:contentTypeVersion="17" ma:contentTypeDescription="Creare un nuovo documento." ma:contentTypeScope="" ma:versionID="f5547ffd92a458e22a7a7a696aee8a86">
  <xsd:schema xmlns:xsd="http://www.w3.org/2001/XMLSchema" xmlns:xs="http://www.w3.org/2001/XMLSchema" xmlns:p="http://schemas.microsoft.com/office/2006/metadata/properties" xmlns:ns2="09c38c22-634d-4549-afed-4d586a40a450" xmlns:ns3="f5952a43-4305-43cb-86cd-86b8004b22dc" targetNamespace="http://schemas.microsoft.com/office/2006/metadata/properties" ma:root="true" ma:fieldsID="8b876d083a747310a316b452455ffc1f" ns2:_="" ns3:_="">
    <xsd:import namespace="09c38c22-634d-4549-afed-4d586a40a450"/>
    <xsd:import namespace="f5952a43-4305-43cb-86cd-86b8004b22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38c22-634d-4549-afed-4d586a40a4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ag immagine" ma:readOnly="false" ma:fieldId="{5cf76f15-5ced-4ddc-b409-7134ff3c332f}" ma:taxonomyMulti="true" ma:sspId="7aca94ca-a0fe-4612-9804-28354761fe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52a43-4305-43cb-86cd-86b8004b22d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8bca7ab-bc72-4234-871d-b74b4f2581f0}" ma:internalName="TaxCatchAll" ma:showField="CatchAllData" ma:web="f5952a43-4305-43cb-86cd-86b8004b22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9676B3-6AFB-4033-B764-FD74482E1CD9}">
  <ds:schemaRefs>
    <ds:schemaRef ds:uri="http://schemas.microsoft.com/office/2006/metadata/properties"/>
    <ds:schemaRef ds:uri="http://schemas.microsoft.com/office/infopath/2007/PartnerControls"/>
    <ds:schemaRef ds:uri="f5952a43-4305-43cb-86cd-86b8004b22dc"/>
    <ds:schemaRef ds:uri="09c38c22-634d-4549-afed-4d586a40a450"/>
  </ds:schemaRefs>
</ds:datastoreItem>
</file>

<file path=customXml/itemProps2.xml><?xml version="1.0" encoding="utf-8"?>
<ds:datastoreItem xmlns:ds="http://schemas.openxmlformats.org/officeDocument/2006/customXml" ds:itemID="{28944D41-BD1F-44A1-A345-1A13D52833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642DA1-745C-4C40-BDB5-6DD2FF347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c38c22-634d-4549-afed-4d586a40a450"/>
    <ds:schemaRef ds:uri="f5952a43-4305-43cb-86cd-86b8004b22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Ricette PARTE1</vt:lpstr>
      <vt:lpstr>Ricette PARTE2</vt:lpstr>
      <vt:lpstr>calcolo ingredienti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Marco Peruffo</cp:lastModifiedBy>
  <cp:revision>1</cp:revision>
  <dcterms:created xsi:type="dcterms:W3CDTF">2022-03-21T20:01:12Z</dcterms:created>
  <dcterms:modified xsi:type="dcterms:W3CDTF">2026-02-21T16:06:52Z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0x010100D1513A8E14F51D479DF130B3FA0C7E43</vt:lpwstr>
  </property>
  <property fmtid="{D5CDD505-2E9C-101B-9397-08002B2CF9AE}" pid="3" name="MediaServiceImageTags">
    <vt:lpwstr/>
  </property>
</Properties>
</file>